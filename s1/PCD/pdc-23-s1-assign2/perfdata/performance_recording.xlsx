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-University-of-Adelaide\s1\PCD\pdc-23-s1-assign2\perfdata\"/>
    </mc:Choice>
  </mc:AlternateContent>
  <xr:revisionPtr revIDLastSave="0" documentId="13_ncr:1_{D47FCBB1-5F15-4B71-BFFA-E1DF8DCF96E2}" xr6:coauthVersionLast="47" xr6:coauthVersionMax="47" xr10:uidLastSave="{00000000-0000-0000-0000-000000000000}"/>
  <bookViews>
    <workbookView xWindow="-120" yWindow="-120" windowWidth="38640" windowHeight="21120" activeTab="1" xr2:uid="{31B440F8-55D8-485B-990A-186BADF76D2E}"/>
  </bookViews>
  <sheets>
    <sheet name="Trials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C17" i="2"/>
  <c r="D38" i="2"/>
  <c r="E38" i="2"/>
  <c r="F38" i="2"/>
  <c r="G38" i="2"/>
  <c r="H38" i="2"/>
  <c r="C38" i="2"/>
  <c r="D37" i="2"/>
  <c r="E37" i="2"/>
  <c r="F37" i="2"/>
  <c r="G37" i="2"/>
  <c r="H37" i="2"/>
  <c r="C37" i="2"/>
  <c r="D36" i="2"/>
  <c r="E36" i="2"/>
  <c r="F36" i="2"/>
  <c r="G36" i="2"/>
  <c r="H36" i="2"/>
  <c r="C36" i="2"/>
  <c r="D35" i="2"/>
  <c r="E35" i="2"/>
  <c r="F35" i="2"/>
  <c r="G35" i="2"/>
  <c r="H35" i="2"/>
  <c r="C35" i="2"/>
  <c r="D34" i="2"/>
  <c r="E34" i="2"/>
  <c r="F34" i="2"/>
  <c r="G34" i="2"/>
  <c r="H34" i="2"/>
  <c r="C34" i="2"/>
  <c r="D33" i="2"/>
  <c r="E33" i="2"/>
  <c r="F33" i="2"/>
  <c r="G33" i="2"/>
  <c r="H33" i="2"/>
  <c r="C33" i="2"/>
  <c r="C32" i="2"/>
  <c r="D32" i="2"/>
  <c r="E32" i="2"/>
  <c r="F32" i="2"/>
  <c r="G32" i="2"/>
  <c r="H32" i="2"/>
  <c r="D31" i="2"/>
  <c r="E31" i="2"/>
  <c r="F31" i="2"/>
  <c r="G31" i="2"/>
  <c r="H31" i="2"/>
  <c r="C31" i="2"/>
  <c r="D30" i="2"/>
  <c r="E30" i="2"/>
  <c r="F30" i="2"/>
  <c r="G30" i="2"/>
  <c r="H30" i="2"/>
  <c r="C30" i="2"/>
  <c r="D25" i="2"/>
  <c r="E25" i="2"/>
  <c r="F25" i="2"/>
  <c r="G25" i="2"/>
  <c r="H25" i="2"/>
  <c r="C25" i="2"/>
  <c r="D24" i="2"/>
  <c r="E24" i="2"/>
  <c r="F24" i="2"/>
  <c r="G24" i="2"/>
  <c r="H24" i="2"/>
  <c r="C24" i="2"/>
  <c r="D23" i="2"/>
  <c r="E23" i="2"/>
  <c r="F23" i="2"/>
  <c r="G23" i="2"/>
  <c r="H23" i="2"/>
  <c r="C23" i="2"/>
  <c r="D22" i="2"/>
  <c r="E22" i="2"/>
  <c r="F22" i="2"/>
  <c r="G22" i="2"/>
  <c r="H22" i="2"/>
  <c r="C22" i="2"/>
  <c r="D21" i="2"/>
  <c r="E21" i="2"/>
  <c r="F21" i="2"/>
  <c r="G21" i="2"/>
  <c r="H21" i="2"/>
  <c r="C21" i="2"/>
  <c r="D20" i="2"/>
  <c r="E20" i="2"/>
  <c r="F20" i="2"/>
  <c r="G20" i="2"/>
  <c r="H20" i="2"/>
  <c r="C20" i="2"/>
  <c r="D19" i="2"/>
  <c r="E19" i="2"/>
  <c r="F19" i="2"/>
  <c r="G19" i="2"/>
  <c r="H19" i="2"/>
  <c r="C19" i="2"/>
  <c r="D18" i="2"/>
  <c r="E18" i="2"/>
  <c r="F18" i="2"/>
  <c r="G18" i="2"/>
  <c r="H18" i="2"/>
  <c r="C18" i="2"/>
  <c r="D17" i="2"/>
  <c r="E17" i="2"/>
  <c r="F17" i="2"/>
  <c r="G17" i="2"/>
  <c r="H17" i="2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</calcChain>
</file>

<file path=xl/sharedStrings.xml><?xml version="1.0" encoding="utf-8"?>
<sst xmlns="http://schemas.openxmlformats.org/spreadsheetml/2006/main" count="18" uniqueCount="10">
  <si>
    <t>Number of bins</t>
  </si>
  <si>
    <t>Number of processes</t>
  </si>
  <si>
    <t>Dataset size</t>
  </si>
  <si>
    <t xml:space="preserve">Run-Times of Serial and Parallel histogram.c </t>
  </si>
  <si>
    <t xml:space="preserve">Efficiencies of Parallel histogram.c </t>
  </si>
  <si>
    <t xml:space="preserve">Speedups of Parallel histogram.c </t>
  </si>
  <si>
    <t>Number of proccesses</t>
  </si>
  <si>
    <t>Runtimes for 10 Trials of Serial and Parallel histogram.c</t>
  </si>
  <si>
    <t>Trial</t>
  </si>
  <si>
    <t>Minimum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</si>
</sst>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3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8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1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0" fillId="2" borderId="7" xfId="0" applyFill="1" applyBorder="1"/>
    <xf numFmtId="0" fontId="0" fillId="2" borderId="8" xfId="0" applyFill="1" applyBorder="1"/>
    <xf numFmtId="0" fontId="0" fillId="2" borderId="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6850-A20C-454F-B709-1873DE19CEB2}">
  <dimension ref="A1:N57"/>
  <sheetViews>
    <sheetView zoomScale="145" zoomScaleNormal="145" workbookViewId="0">
      <selection activeCell="N16" sqref="N16"/>
    </sheetView>
  </sheetViews>
  <sheetFormatPr defaultRowHeight="15" x14ac:dyDescent="0.25"/>
  <cols>
    <col min="1" max="1" width="11.42578125" customWidth="1"/>
    <col min="3" max="3" width="9.7109375" customWidth="1"/>
  </cols>
  <sheetData>
    <row r="1" spans="1:14" x14ac:dyDescent="0.25">
      <c r="A1" s="23" t="s">
        <v>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</row>
    <row r="2" spans="1:14" x14ac:dyDescent="0.25">
      <c r="A2" s="30" t="s">
        <v>6</v>
      </c>
      <c r="B2" s="32" t="s">
        <v>0</v>
      </c>
      <c r="C2" s="32" t="s">
        <v>2</v>
      </c>
      <c r="D2" s="29" t="s">
        <v>8</v>
      </c>
      <c r="E2" s="29"/>
      <c r="F2" s="29"/>
      <c r="G2" s="29"/>
      <c r="H2" s="29"/>
      <c r="I2" s="29"/>
      <c r="J2" s="29"/>
      <c r="K2" s="29"/>
      <c r="L2" s="29"/>
      <c r="M2" s="29"/>
      <c r="N2" s="21" t="s">
        <v>9</v>
      </c>
    </row>
    <row r="3" spans="1:14" ht="15.75" thickBot="1" x14ac:dyDescent="0.3">
      <c r="A3" s="31"/>
      <c r="B3" s="33"/>
      <c r="C3" s="33"/>
      <c r="D3" s="19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22"/>
    </row>
    <row r="4" spans="1:14" x14ac:dyDescent="0.25">
      <c r="A4" s="34">
        <v>1</v>
      </c>
      <c r="B4" s="26">
        <v>5</v>
      </c>
      <c r="C4" s="2">
        <v>100</v>
      </c>
      <c r="D4" s="13">
        <v>1.5999999999999999E-5</v>
      </c>
      <c r="E4" s="13">
        <v>1.4E-5</v>
      </c>
      <c r="F4" s="13">
        <v>1.2999999999999999E-5</v>
      </c>
      <c r="G4" s="13">
        <v>1.5E-5</v>
      </c>
      <c r="H4" s="13">
        <v>1.2999999999999999E-5</v>
      </c>
      <c r="I4" s="13">
        <v>1.4E-5</v>
      </c>
      <c r="J4" s="13">
        <v>1.5999999999999999E-5</v>
      </c>
      <c r="K4" s="13">
        <v>1.5E-5</v>
      </c>
      <c r="L4" s="13">
        <v>4.5000000000000003E-5</v>
      </c>
      <c r="M4" s="13">
        <v>1.2999999999999999E-5</v>
      </c>
      <c r="N4" s="14">
        <f>MIN(D4:M4)</f>
        <v>1.2999999999999999E-5</v>
      </c>
    </row>
    <row r="5" spans="1:14" x14ac:dyDescent="0.25">
      <c r="A5" s="35"/>
      <c r="B5" s="27"/>
      <c r="C5" s="1">
        <v>1000</v>
      </c>
      <c r="D5" s="15">
        <v>4.5000000000000003E-5</v>
      </c>
      <c r="E5" s="15">
        <v>4.5000000000000003E-5</v>
      </c>
      <c r="F5" s="15">
        <v>4.6999999999999997E-5</v>
      </c>
      <c r="G5" s="15">
        <v>4.6E-5</v>
      </c>
      <c r="H5" s="15">
        <v>5.1999999999999997E-5</v>
      </c>
      <c r="I5" s="15">
        <v>4.8000000000000001E-5</v>
      </c>
      <c r="J5" s="15">
        <v>4.6E-5</v>
      </c>
      <c r="K5" s="15">
        <v>4.6E-5</v>
      </c>
      <c r="L5" s="15">
        <v>4.6999999999999997E-5</v>
      </c>
      <c r="M5" s="15">
        <v>4.6E-5</v>
      </c>
      <c r="N5" s="16">
        <f t="shared" ref="N5:N57" si="0">MIN(D5:M5)</f>
        <v>4.5000000000000003E-5</v>
      </c>
    </row>
    <row r="6" spans="1:14" x14ac:dyDescent="0.25">
      <c r="A6" s="35"/>
      <c r="B6" s="27"/>
      <c r="C6" s="1">
        <v>10000</v>
      </c>
      <c r="D6" s="15">
        <v>3.6099999999999999E-4</v>
      </c>
      <c r="E6" s="15">
        <v>3.5300000000000002E-4</v>
      </c>
      <c r="F6" s="15">
        <v>3.5599999999999998E-4</v>
      </c>
      <c r="G6" s="15">
        <v>3.5300000000000002E-4</v>
      </c>
      <c r="H6" s="15">
        <v>3.6699999999999998E-4</v>
      </c>
      <c r="I6" s="15">
        <v>3.4900000000000003E-4</v>
      </c>
      <c r="J6" s="15">
        <v>3.8099999999999999E-4</v>
      </c>
      <c r="K6" s="15">
        <v>4.1100000000000002E-4</v>
      </c>
      <c r="L6" s="15">
        <v>3.6200000000000002E-4</v>
      </c>
      <c r="M6" s="15">
        <v>3.6999999999999999E-4</v>
      </c>
      <c r="N6" s="16">
        <f t="shared" si="0"/>
        <v>3.4900000000000003E-4</v>
      </c>
    </row>
    <row r="7" spans="1:14" x14ac:dyDescent="0.25">
      <c r="A7" s="35"/>
      <c r="B7" s="27"/>
      <c r="C7" s="1">
        <v>100000</v>
      </c>
      <c r="D7" s="15">
        <v>3.4229999999999998E-3</v>
      </c>
      <c r="E7" s="15">
        <v>3.4280000000000001E-3</v>
      </c>
      <c r="F7" s="15">
        <v>3.5699999999999998E-3</v>
      </c>
      <c r="G7" s="15">
        <v>3.4919999999999999E-3</v>
      </c>
      <c r="H7" s="15">
        <v>3.4559999999999999E-3</v>
      </c>
      <c r="I7" s="15">
        <v>3.4269999999999999E-3</v>
      </c>
      <c r="J7" s="15">
        <v>3.4940000000000001E-3</v>
      </c>
      <c r="K7" s="15">
        <v>3.4280000000000001E-3</v>
      </c>
      <c r="L7" s="15">
        <v>3.4139999999999999E-3</v>
      </c>
      <c r="M7" s="15">
        <v>3.4220000000000001E-3</v>
      </c>
      <c r="N7" s="16">
        <f t="shared" si="0"/>
        <v>3.4139999999999999E-3</v>
      </c>
    </row>
    <row r="8" spans="1:14" x14ac:dyDescent="0.25">
      <c r="A8" s="35"/>
      <c r="B8" s="27"/>
      <c r="C8" s="1">
        <v>1000000</v>
      </c>
      <c r="D8" s="15">
        <v>3.4744999999999998E-2</v>
      </c>
      <c r="E8" s="15">
        <v>3.4588000000000001E-2</v>
      </c>
      <c r="F8" s="15">
        <v>3.4235000000000002E-2</v>
      </c>
      <c r="G8" s="15">
        <v>3.4548000000000002E-2</v>
      </c>
      <c r="H8" s="15">
        <v>3.4077000000000003E-2</v>
      </c>
      <c r="I8" s="15">
        <v>3.5441E-2</v>
      </c>
      <c r="J8" s="15">
        <v>3.4298000000000002E-2</v>
      </c>
      <c r="K8" s="15">
        <v>3.4292999999999997E-2</v>
      </c>
      <c r="L8" s="15">
        <v>3.4027000000000002E-2</v>
      </c>
      <c r="M8" s="15">
        <v>3.4674999999999997E-2</v>
      </c>
      <c r="N8" s="16">
        <f t="shared" si="0"/>
        <v>3.4027000000000002E-2</v>
      </c>
    </row>
    <row r="9" spans="1:14" ht="15.75" thickBot="1" x14ac:dyDescent="0.3">
      <c r="A9" s="35"/>
      <c r="B9" s="28"/>
      <c r="C9" s="3">
        <v>10000000</v>
      </c>
      <c r="D9" s="17">
        <v>0.35477399999999998</v>
      </c>
      <c r="E9" s="17">
        <v>0.35092400000000001</v>
      </c>
      <c r="F9" s="17">
        <v>0.34966700000000001</v>
      </c>
      <c r="G9" s="17">
        <v>0.34964499999999998</v>
      </c>
      <c r="H9" s="17">
        <v>0.34607399999999999</v>
      </c>
      <c r="I9" s="17">
        <v>0.35080099999999997</v>
      </c>
      <c r="J9" s="17">
        <v>0.35064099999999998</v>
      </c>
      <c r="K9" s="17">
        <v>0.350578</v>
      </c>
      <c r="L9" s="17">
        <v>0.35098099999999999</v>
      </c>
      <c r="M9" s="17">
        <v>0.35019400000000001</v>
      </c>
      <c r="N9" s="18">
        <f t="shared" si="0"/>
        <v>0.34607399999999999</v>
      </c>
    </row>
    <row r="10" spans="1:14" x14ac:dyDescent="0.25">
      <c r="A10" s="35"/>
      <c r="B10" s="26">
        <v>10</v>
      </c>
      <c r="C10" s="2">
        <v>100</v>
      </c>
      <c r="D10" s="13">
        <v>1.5999999999999999E-5</v>
      </c>
      <c r="E10" s="13">
        <v>2.5000000000000001E-5</v>
      </c>
      <c r="F10" s="13">
        <v>1.5E-5</v>
      </c>
      <c r="G10" s="13">
        <v>1.5999999999999999E-5</v>
      </c>
      <c r="H10" s="13">
        <v>1.9000000000000001E-5</v>
      </c>
      <c r="I10" s="13">
        <v>1.7E-5</v>
      </c>
      <c r="J10" s="13">
        <v>1.5999999999999999E-5</v>
      </c>
      <c r="K10" s="13">
        <v>1.5999999999999999E-5</v>
      </c>
      <c r="L10" s="13">
        <v>1.5E-5</v>
      </c>
      <c r="M10" s="13">
        <v>1.5E-5</v>
      </c>
      <c r="N10" s="14">
        <f t="shared" si="0"/>
        <v>1.5E-5</v>
      </c>
    </row>
    <row r="11" spans="1:14" x14ac:dyDescent="0.25">
      <c r="A11" s="35"/>
      <c r="B11" s="27"/>
      <c r="C11" s="1">
        <v>1000</v>
      </c>
      <c r="D11" s="15">
        <v>5.8799999999999998E-4</v>
      </c>
      <c r="E11" s="15">
        <v>5.7000000000000003E-5</v>
      </c>
      <c r="F11" s="15">
        <v>5.8E-5</v>
      </c>
      <c r="G11" s="15">
        <v>5.5000000000000002E-5</v>
      </c>
      <c r="H11" s="15">
        <v>6.0000000000000002E-5</v>
      </c>
      <c r="I11" s="15">
        <v>5.8E-5</v>
      </c>
      <c r="J11" s="15">
        <v>6.3999999999999997E-5</v>
      </c>
      <c r="K11" s="15">
        <v>6.3E-5</v>
      </c>
      <c r="L11" s="15">
        <v>5.8E-5</v>
      </c>
      <c r="M11" s="15">
        <v>5.5000000000000002E-5</v>
      </c>
      <c r="N11" s="16">
        <f t="shared" si="0"/>
        <v>5.5000000000000002E-5</v>
      </c>
    </row>
    <row r="12" spans="1:14" x14ac:dyDescent="0.25">
      <c r="A12" s="35"/>
      <c r="B12" s="27"/>
      <c r="C12" s="1">
        <v>10000</v>
      </c>
      <c r="D12" s="15">
        <v>4.6299999999999998E-4</v>
      </c>
      <c r="E12" s="15">
        <v>4.6999999999999999E-4</v>
      </c>
      <c r="F12" s="15">
        <v>4.44E-4</v>
      </c>
      <c r="G12" s="15">
        <v>4.4799999999999999E-4</v>
      </c>
      <c r="H12" s="15">
        <v>4.7600000000000002E-4</v>
      </c>
      <c r="I12" s="15">
        <v>4.55E-4</v>
      </c>
      <c r="J12" s="15">
        <v>4.7100000000000001E-4</v>
      </c>
      <c r="K12" s="15">
        <v>4.44E-4</v>
      </c>
      <c r="L12" s="15">
        <v>4.66E-4</v>
      </c>
      <c r="M12" s="15">
        <v>4.44E-4</v>
      </c>
      <c r="N12" s="16">
        <f t="shared" si="0"/>
        <v>4.44E-4</v>
      </c>
    </row>
    <row r="13" spans="1:14" x14ac:dyDescent="0.25">
      <c r="A13" s="35"/>
      <c r="B13" s="27"/>
      <c r="C13" s="1">
        <v>100000</v>
      </c>
      <c r="D13" s="15">
        <v>4.4380000000000001E-3</v>
      </c>
      <c r="E13" s="15">
        <v>4.3810000000000003E-3</v>
      </c>
      <c r="F13" s="15">
        <v>4.5209999999999998E-3</v>
      </c>
      <c r="G13" s="15">
        <v>4.3959999999999997E-3</v>
      </c>
      <c r="H13" s="15">
        <v>4.4949999999999999E-3</v>
      </c>
      <c r="I13" s="15">
        <v>4.4780000000000002E-3</v>
      </c>
      <c r="J13" s="15">
        <v>4.4229999999999998E-3</v>
      </c>
      <c r="K13" s="15">
        <v>4.431E-3</v>
      </c>
      <c r="L13" s="15">
        <v>4.4419999999999998E-3</v>
      </c>
      <c r="M13" s="15">
        <v>4.3759999999999997E-3</v>
      </c>
      <c r="N13" s="16">
        <f t="shared" si="0"/>
        <v>4.3759999999999997E-3</v>
      </c>
    </row>
    <row r="14" spans="1:14" x14ac:dyDescent="0.25">
      <c r="A14" s="35"/>
      <c r="B14" s="27"/>
      <c r="C14" s="1">
        <v>1000000</v>
      </c>
      <c r="D14" s="15">
        <v>4.5177000000000002E-2</v>
      </c>
      <c r="E14" s="15">
        <v>4.6252000000000001E-2</v>
      </c>
      <c r="F14" s="15">
        <v>4.4733000000000002E-2</v>
      </c>
      <c r="G14" s="15">
        <v>4.6349000000000001E-2</v>
      </c>
      <c r="H14" s="15">
        <v>4.4756999999999998E-2</v>
      </c>
      <c r="I14" s="15">
        <v>5.0634999999999999E-2</v>
      </c>
      <c r="J14" s="15">
        <v>4.6648000000000002E-2</v>
      </c>
      <c r="K14" s="15">
        <v>4.4637000000000003E-2</v>
      </c>
      <c r="L14" s="15">
        <v>4.4718000000000001E-2</v>
      </c>
      <c r="M14" s="15">
        <v>4.5043E-2</v>
      </c>
      <c r="N14" s="16">
        <f t="shared" si="0"/>
        <v>4.4637000000000003E-2</v>
      </c>
    </row>
    <row r="15" spans="1:14" ht="15.75" thickBot="1" x14ac:dyDescent="0.3">
      <c r="A15" s="35"/>
      <c r="B15" s="28"/>
      <c r="C15" s="3">
        <v>10000000</v>
      </c>
      <c r="D15" s="17">
        <v>0.45059399999999999</v>
      </c>
      <c r="E15" s="17">
        <v>0.45488600000000001</v>
      </c>
      <c r="F15" s="17">
        <v>0.46892400000000001</v>
      </c>
      <c r="G15" s="17">
        <v>0.44802900000000001</v>
      </c>
      <c r="H15" s="17">
        <v>0.44375399999999998</v>
      </c>
      <c r="I15" s="17">
        <v>0.45647700000000002</v>
      </c>
      <c r="J15" s="17">
        <v>0.45136900000000002</v>
      </c>
      <c r="K15" s="17">
        <v>0.44840099999999999</v>
      </c>
      <c r="L15" s="17">
        <v>0.449378</v>
      </c>
      <c r="M15" s="17">
        <v>0.45948899999999998</v>
      </c>
      <c r="N15" s="18">
        <f t="shared" si="0"/>
        <v>0.44375399999999998</v>
      </c>
    </row>
    <row r="16" spans="1:14" x14ac:dyDescent="0.25">
      <c r="A16" s="35"/>
      <c r="B16" s="26">
        <v>20</v>
      </c>
      <c r="C16" s="2">
        <v>100</v>
      </c>
      <c r="D16" s="13">
        <v>1.8E-5</v>
      </c>
      <c r="E16" s="13">
        <v>2.3E-5</v>
      </c>
      <c r="F16" s="13">
        <v>1.5E-5</v>
      </c>
      <c r="G16" s="13">
        <v>1.5999999999999999E-5</v>
      </c>
      <c r="H16" s="13">
        <v>1.8E-5</v>
      </c>
      <c r="I16" s="13">
        <v>1.7E-5</v>
      </c>
      <c r="J16" s="13">
        <v>1.5999999999999999E-5</v>
      </c>
      <c r="K16" s="13">
        <v>2.0000000000000002E-5</v>
      </c>
      <c r="L16" s="13">
        <v>1.0000000000000001E-5</v>
      </c>
      <c r="M16" s="13">
        <v>2.5000000000000001E-5</v>
      </c>
      <c r="N16" s="14">
        <f t="shared" si="0"/>
        <v>1.0000000000000001E-5</v>
      </c>
    </row>
    <row r="17" spans="1:14" x14ac:dyDescent="0.25">
      <c r="A17" s="35"/>
      <c r="B17" s="27"/>
      <c r="C17" s="1">
        <v>1000</v>
      </c>
      <c r="D17" s="15">
        <v>6.7000000000000002E-5</v>
      </c>
      <c r="E17" s="15">
        <v>7.2000000000000002E-5</v>
      </c>
      <c r="F17" s="15">
        <v>6.4999999999999994E-5</v>
      </c>
      <c r="G17" s="15">
        <v>6.3999999999999997E-5</v>
      </c>
      <c r="H17" s="15">
        <v>6.4999999999999994E-5</v>
      </c>
      <c r="I17" s="15">
        <v>6.3E-5</v>
      </c>
      <c r="J17" s="15">
        <v>6.4999999999999994E-5</v>
      </c>
      <c r="K17" s="15">
        <v>8.7999999999999998E-5</v>
      </c>
      <c r="L17" s="15">
        <v>8.3999999999999995E-5</v>
      </c>
      <c r="M17" s="15">
        <v>6.3999999999999997E-5</v>
      </c>
      <c r="N17" s="16">
        <f t="shared" si="0"/>
        <v>6.3E-5</v>
      </c>
    </row>
    <row r="18" spans="1:14" x14ac:dyDescent="0.25">
      <c r="A18" s="35"/>
      <c r="B18" s="27"/>
      <c r="C18" s="1">
        <v>10000</v>
      </c>
      <c r="D18" s="15">
        <v>5.3799999999999996E-4</v>
      </c>
      <c r="E18" s="15">
        <v>5.53E-4</v>
      </c>
      <c r="F18" s="15">
        <v>5.6999999999999998E-4</v>
      </c>
      <c r="G18" s="15">
        <v>5.5400000000000002E-4</v>
      </c>
      <c r="H18" s="15">
        <v>5.5400000000000002E-4</v>
      </c>
      <c r="I18" s="15">
        <v>5.4100000000000003E-4</v>
      </c>
      <c r="J18" s="15">
        <v>5.6800000000000004E-4</v>
      </c>
      <c r="K18" s="15">
        <v>5.4000000000000001E-4</v>
      </c>
      <c r="L18" s="15">
        <v>5.44E-4</v>
      </c>
      <c r="M18" s="15">
        <v>6.69E-4</v>
      </c>
      <c r="N18" s="16">
        <f t="shared" si="0"/>
        <v>5.3799999999999996E-4</v>
      </c>
    </row>
    <row r="19" spans="1:14" x14ac:dyDescent="0.25">
      <c r="A19" s="35"/>
      <c r="B19" s="27"/>
      <c r="C19" s="1">
        <v>100000</v>
      </c>
      <c r="D19" s="15">
        <v>5.4320000000000002E-3</v>
      </c>
      <c r="E19" s="15">
        <v>5.4539999999999996E-3</v>
      </c>
      <c r="F19" s="15">
        <v>5.5030000000000001E-3</v>
      </c>
      <c r="G19" s="15">
        <v>5.79E-3</v>
      </c>
      <c r="H19" s="15">
        <v>5.4039999999999999E-3</v>
      </c>
      <c r="I19" s="15">
        <v>5.6579999999999998E-3</v>
      </c>
      <c r="J19" s="15">
        <v>5.4440000000000001E-3</v>
      </c>
      <c r="K19" s="15">
        <v>5.5189999999999996E-3</v>
      </c>
      <c r="L19" s="15">
        <v>6.2469999999999999E-3</v>
      </c>
      <c r="M19" s="15">
        <v>5.3990000000000002E-3</v>
      </c>
      <c r="N19" s="16">
        <f t="shared" si="0"/>
        <v>5.3990000000000002E-3</v>
      </c>
    </row>
    <row r="20" spans="1:14" x14ac:dyDescent="0.25">
      <c r="A20" s="35"/>
      <c r="B20" s="27"/>
      <c r="C20" s="1">
        <v>1000000</v>
      </c>
      <c r="D20" s="15">
        <v>5.5352999999999999E-2</v>
      </c>
      <c r="E20" s="15">
        <v>5.4980000000000001E-2</v>
      </c>
      <c r="F20" s="15">
        <v>5.4864000000000003E-2</v>
      </c>
      <c r="G20" s="15">
        <v>5.5952000000000002E-2</v>
      </c>
      <c r="H20" s="15">
        <v>5.5125E-2</v>
      </c>
      <c r="I20" s="15">
        <v>5.5023000000000002E-2</v>
      </c>
      <c r="J20" s="15">
        <v>5.4990999999999998E-2</v>
      </c>
      <c r="K20" s="15">
        <v>5.4260000000000003E-2</v>
      </c>
      <c r="L20" s="15">
        <v>5.6481000000000003E-2</v>
      </c>
      <c r="M20" s="15">
        <v>5.4650999999999998E-2</v>
      </c>
      <c r="N20" s="16">
        <f t="shared" si="0"/>
        <v>5.4260000000000003E-2</v>
      </c>
    </row>
    <row r="21" spans="1:14" ht="15.75" thickBot="1" x14ac:dyDescent="0.3">
      <c r="A21" s="36"/>
      <c r="B21" s="28"/>
      <c r="C21" s="3">
        <v>10000000</v>
      </c>
      <c r="D21" s="17">
        <v>0.55987900000000002</v>
      </c>
      <c r="E21" s="17">
        <v>0.55379100000000003</v>
      </c>
      <c r="F21" s="17">
        <v>0.56169100000000005</v>
      </c>
      <c r="G21" s="17">
        <v>0.60414100000000004</v>
      </c>
      <c r="H21" s="17">
        <v>0.55828699999999998</v>
      </c>
      <c r="I21" s="17">
        <v>0.57310799999999995</v>
      </c>
      <c r="J21" s="17">
        <v>0.551539</v>
      </c>
      <c r="K21" s="17">
        <v>0.58859399999999995</v>
      </c>
      <c r="L21" s="17">
        <v>0.54667100000000002</v>
      </c>
      <c r="M21" s="17">
        <v>0.55843600000000004</v>
      </c>
      <c r="N21" s="18">
        <f t="shared" si="0"/>
        <v>0.54667100000000002</v>
      </c>
    </row>
    <row r="22" spans="1:14" x14ac:dyDescent="0.25">
      <c r="A22" s="37">
        <v>2</v>
      </c>
      <c r="B22" s="26">
        <v>5</v>
      </c>
      <c r="C22" s="2">
        <v>100</v>
      </c>
      <c r="D22" s="13">
        <v>1.1E-5</v>
      </c>
      <c r="E22" s="13">
        <v>1.1E-5</v>
      </c>
      <c r="F22" s="13">
        <v>1.0000000000000001E-5</v>
      </c>
      <c r="G22" s="13">
        <v>1.1E-5</v>
      </c>
      <c r="H22" s="13">
        <v>2.3E-5</v>
      </c>
      <c r="I22" s="13">
        <v>2.0000000000000002E-5</v>
      </c>
      <c r="J22" s="13">
        <v>1.1E-5</v>
      </c>
      <c r="K22" s="13">
        <v>3.4E-5</v>
      </c>
      <c r="L22" s="13">
        <v>1.0000000000000001E-5</v>
      </c>
      <c r="M22" s="13">
        <v>1.1E-5</v>
      </c>
      <c r="N22" s="14">
        <f t="shared" si="0"/>
        <v>1.0000000000000001E-5</v>
      </c>
    </row>
    <row r="23" spans="1:14" x14ac:dyDescent="0.25">
      <c r="A23" s="38"/>
      <c r="B23" s="27"/>
      <c r="C23" s="1">
        <v>1000</v>
      </c>
      <c r="D23" s="15">
        <v>3.8999999999999999E-5</v>
      </c>
      <c r="E23" s="15">
        <v>3.1999999999999999E-5</v>
      </c>
      <c r="F23" s="15">
        <v>1.4200000000000001E-4</v>
      </c>
      <c r="G23" s="15">
        <v>4.3999999999999999E-5</v>
      </c>
      <c r="H23" s="15">
        <v>7.2999999999999999E-5</v>
      </c>
      <c r="I23" s="15">
        <v>3.0000000000000001E-5</v>
      </c>
      <c r="J23" s="15">
        <v>3.4E-5</v>
      </c>
      <c r="K23" s="15">
        <v>3.1999999999999999E-5</v>
      </c>
      <c r="L23" s="15">
        <v>3.1000000000000001E-5</v>
      </c>
      <c r="M23" s="15">
        <v>3.1000000000000001E-5</v>
      </c>
      <c r="N23" s="16">
        <f t="shared" si="0"/>
        <v>3.0000000000000001E-5</v>
      </c>
    </row>
    <row r="24" spans="1:14" x14ac:dyDescent="0.25">
      <c r="A24" s="38"/>
      <c r="B24" s="27"/>
      <c r="C24" s="1">
        <v>10000</v>
      </c>
      <c r="D24" s="15">
        <v>2.3900000000000001E-4</v>
      </c>
      <c r="E24" s="15">
        <v>2.6699999999999998E-4</v>
      </c>
      <c r="F24" s="15">
        <v>2.42E-4</v>
      </c>
      <c r="G24" s="15">
        <v>2.34E-4</v>
      </c>
      <c r="H24" s="15">
        <v>3.0699999999999998E-4</v>
      </c>
      <c r="I24" s="15">
        <v>2.23E-4</v>
      </c>
      <c r="J24" s="15">
        <v>2.22E-4</v>
      </c>
      <c r="K24" s="15">
        <v>2.3599999999999999E-4</v>
      </c>
      <c r="L24" s="15">
        <v>3.9899999999999999E-4</v>
      </c>
      <c r="M24" s="15">
        <v>2.5700000000000001E-4</v>
      </c>
      <c r="N24" s="16">
        <f t="shared" si="0"/>
        <v>2.22E-4</v>
      </c>
    </row>
    <row r="25" spans="1:14" x14ac:dyDescent="0.25">
      <c r="A25" s="38"/>
      <c r="B25" s="27"/>
      <c r="C25" s="1">
        <v>100000</v>
      </c>
      <c r="D25" s="15">
        <v>2.2469999999999999E-3</v>
      </c>
      <c r="E25" s="15">
        <v>2.2190000000000001E-3</v>
      </c>
      <c r="F25" s="15">
        <v>2.183E-3</v>
      </c>
      <c r="G25" s="15">
        <v>2.2169999999999998E-3</v>
      </c>
      <c r="H25" s="15">
        <v>2.2420000000000001E-3</v>
      </c>
      <c r="I25" s="15">
        <v>2.2989999999999998E-3</v>
      </c>
      <c r="J25" s="15">
        <v>2.2950000000000002E-3</v>
      </c>
      <c r="K25" s="15">
        <v>2.3240000000000001E-3</v>
      </c>
      <c r="L25" s="15">
        <v>2.5430000000000001E-3</v>
      </c>
      <c r="M25" s="15">
        <v>2.4329999999999998E-3</v>
      </c>
      <c r="N25" s="16">
        <f t="shared" si="0"/>
        <v>2.183E-3</v>
      </c>
    </row>
    <row r="26" spans="1:14" x14ac:dyDescent="0.25">
      <c r="A26" s="38"/>
      <c r="B26" s="27"/>
      <c r="C26" s="1">
        <v>1000000</v>
      </c>
      <c r="D26" s="15">
        <v>2.1797E-2</v>
      </c>
      <c r="E26" s="15">
        <v>2.7675000000000002E-2</v>
      </c>
      <c r="F26" s="15">
        <v>2.145E-2</v>
      </c>
      <c r="G26" s="15">
        <v>2.3206000000000001E-2</v>
      </c>
      <c r="H26" s="15">
        <v>2.1607999999999999E-2</v>
      </c>
      <c r="I26" s="15">
        <v>2.1129999999999999E-2</v>
      </c>
      <c r="J26" s="15">
        <v>2.1430000000000001E-2</v>
      </c>
      <c r="K26" s="15">
        <v>2.2662999999999999E-2</v>
      </c>
      <c r="L26" s="15">
        <v>2.1396999999999999E-2</v>
      </c>
      <c r="M26" s="15">
        <v>2.1850999999999999E-2</v>
      </c>
      <c r="N26" s="16">
        <f t="shared" si="0"/>
        <v>2.1129999999999999E-2</v>
      </c>
    </row>
    <row r="27" spans="1:14" ht="15.75" thickBot="1" x14ac:dyDescent="0.3">
      <c r="A27" s="38"/>
      <c r="B27" s="28"/>
      <c r="C27" s="3">
        <v>10000000</v>
      </c>
      <c r="D27" s="17">
        <v>0.23515900000000001</v>
      </c>
      <c r="E27" s="17">
        <v>0.21937699999999999</v>
      </c>
      <c r="F27" s="17">
        <v>0.23619799999999999</v>
      </c>
      <c r="G27" s="17">
        <v>0.216275</v>
      </c>
      <c r="H27" s="17">
        <v>0.23307700000000001</v>
      </c>
      <c r="I27" s="17">
        <v>0.23577100000000001</v>
      </c>
      <c r="J27" s="17">
        <v>0.240535</v>
      </c>
      <c r="K27" s="17">
        <v>0.23729500000000001</v>
      </c>
      <c r="L27" s="17">
        <v>0.232378</v>
      </c>
      <c r="M27" s="17">
        <v>0.243834</v>
      </c>
      <c r="N27" s="18">
        <f t="shared" si="0"/>
        <v>0.216275</v>
      </c>
    </row>
    <row r="28" spans="1:14" x14ac:dyDescent="0.25">
      <c r="A28" s="38"/>
      <c r="B28" s="26">
        <v>10</v>
      </c>
      <c r="C28" s="2">
        <v>100</v>
      </c>
      <c r="D28" s="13">
        <v>1.2999999999999999E-5</v>
      </c>
      <c r="E28" s="13">
        <v>2.5000000000000001E-5</v>
      </c>
      <c r="F28" s="13">
        <v>1.1E-5</v>
      </c>
      <c r="G28" s="13">
        <v>1.2E-5</v>
      </c>
      <c r="H28" s="13">
        <v>1.4E-5</v>
      </c>
      <c r="I28" s="13">
        <v>1.2E-5</v>
      </c>
      <c r="J28" s="13">
        <v>1.1E-5</v>
      </c>
      <c r="K28" s="13">
        <v>1.1E-5</v>
      </c>
      <c r="L28" s="13">
        <v>2.3E-5</v>
      </c>
      <c r="M28" s="13">
        <v>1.1E-5</v>
      </c>
      <c r="N28" s="14">
        <f t="shared" si="0"/>
        <v>1.1E-5</v>
      </c>
    </row>
    <row r="29" spans="1:14" x14ac:dyDescent="0.25">
      <c r="A29" s="38"/>
      <c r="B29" s="27"/>
      <c r="C29" s="1">
        <v>1000</v>
      </c>
      <c r="D29" s="15">
        <v>3.6000000000000001E-5</v>
      </c>
      <c r="E29" s="15">
        <v>3.4999999999999997E-5</v>
      </c>
      <c r="F29" s="15">
        <v>3.6000000000000001E-5</v>
      </c>
      <c r="G29" s="15">
        <v>3.6999999999999998E-5</v>
      </c>
      <c r="H29" s="15">
        <v>4.3000000000000002E-5</v>
      </c>
      <c r="I29" s="15">
        <v>3.4999999999999997E-5</v>
      </c>
      <c r="J29" s="15">
        <v>4.1999999999999998E-5</v>
      </c>
      <c r="K29" s="15">
        <v>4.6999999999999997E-5</v>
      </c>
      <c r="L29" s="15">
        <v>3.4999999999999997E-5</v>
      </c>
      <c r="M29" s="15">
        <v>4.1E-5</v>
      </c>
      <c r="N29" s="16">
        <f t="shared" si="0"/>
        <v>3.4999999999999997E-5</v>
      </c>
    </row>
    <row r="30" spans="1:14" x14ac:dyDescent="0.25">
      <c r="A30" s="38"/>
      <c r="B30" s="27"/>
      <c r="C30" s="1">
        <v>10000</v>
      </c>
      <c r="D30" s="15">
        <v>2.8899999999999998E-4</v>
      </c>
      <c r="E30" s="15">
        <v>2.81E-4</v>
      </c>
      <c r="F30" s="15">
        <v>2.72E-4</v>
      </c>
      <c r="G30" s="15">
        <v>3.6499999999999998E-4</v>
      </c>
      <c r="H30" s="15">
        <v>3.0600000000000001E-4</v>
      </c>
      <c r="I30" s="15">
        <v>3.19E-4</v>
      </c>
      <c r="J30" s="15">
        <v>3.3300000000000002E-4</v>
      </c>
      <c r="K30" s="15">
        <v>4.0900000000000002E-4</v>
      </c>
      <c r="L30" s="15">
        <v>3.0200000000000002E-4</v>
      </c>
      <c r="M30" s="15">
        <v>3.0200000000000002E-4</v>
      </c>
      <c r="N30" s="16">
        <f t="shared" si="0"/>
        <v>2.72E-4</v>
      </c>
    </row>
    <row r="31" spans="1:14" x14ac:dyDescent="0.25">
      <c r="A31" s="38"/>
      <c r="B31" s="27"/>
      <c r="C31" s="1">
        <v>100000</v>
      </c>
      <c r="D31" s="15">
        <v>3.3660000000000001E-3</v>
      </c>
      <c r="E31" s="15">
        <v>3.241E-3</v>
      </c>
      <c r="F31" s="15">
        <v>2.7529999999999998E-3</v>
      </c>
      <c r="G31" s="15">
        <v>2.8570000000000002E-3</v>
      </c>
      <c r="H31" s="15">
        <v>2.8310000000000002E-3</v>
      </c>
      <c r="I31" s="15">
        <v>2.954E-3</v>
      </c>
      <c r="J31" s="15">
        <v>2.882E-3</v>
      </c>
      <c r="K31" s="15">
        <v>2.7810000000000001E-3</v>
      </c>
      <c r="L31" s="15">
        <v>2.8579999999999999E-3</v>
      </c>
      <c r="M31" s="15">
        <v>2.6930000000000001E-3</v>
      </c>
      <c r="N31" s="16">
        <f t="shared" si="0"/>
        <v>2.6930000000000001E-3</v>
      </c>
    </row>
    <row r="32" spans="1:14" x14ac:dyDescent="0.25">
      <c r="A32" s="38"/>
      <c r="B32" s="27"/>
      <c r="C32" s="1">
        <v>1000000</v>
      </c>
      <c r="D32" s="15">
        <v>2.6786000000000001E-2</v>
      </c>
      <c r="E32" s="15">
        <v>2.6984999999999999E-2</v>
      </c>
      <c r="F32" s="15">
        <v>2.6554000000000001E-2</v>
      </c>
      <c r="G32" s="15">
        <v>2.7532999999999998E-2</v>
      </c>
      <c r="H32" s="15">
        <v>2.6754E-2</v>
      </c>
      <c r="I32" s="15">
        <v>2.6172999999999998E-2</v>
      </c>
      <c r="J32" s="15">
        <v>2.6127000000000001E-2</v>
      </c>
      <c r="K32" s="15">
        <v>3.1181E-2</v>
      </c>
      <c r="L32" s="15">
        <v>2.7063E-2</v>
      </c>
      <c r="M32" s="15">
        <v>2.6034000000000002E-2</v>
      </c>
      <c r="N32" s="16">
        <f t="shared" si="0"/>
        <v>2.6034000000000002E-2</v>
      </c>
    </row>
    <row r="33" spans="1:14" ht="15.75" thickBot="1" x14ac:dyDescent="0.3">
      <c r="A33" s="38"/>
      <c r="B33" s="28"/>
      <c r="C33" s="3">
        <v>10000000</v>
      </c>
      <c r="D33" s="17">
        <v>0.27929399999999999</v>
      </c>
      <c r="E33" s="17">
        <v>0.28508099999999997</v>
      </c>
      <c r="F33" s="17">
        <v>0.29200799999999999</v>
      </c>
      <c r="G33" s="17">
        <v>0.28619</v>
      </c>
      <c r="H33" s="17">
        <v>0.33096700000000001</v>
      </c>
      <c r="I33" s="17">
        <v>0.284439</v>
      </c>
      <c r="J33" s="17">
        <v>0.32385799999999998</v>
      </c>
      <c r="K33" s="17">
        <v>0.27624100000000001</v>
      </c>
      <c r="L33" s="17">
        <v>0.31850000000000001</v>
      </c>
      <c r="M33" s="17">
        <v>0.31066199999999999</v>
      </c>
      <c r="N33" s="18">
        <f t="shared" si="0"/>
        <v>0.27624100000000001</v>
      </c>
    </row>
    <row r="34" spans="1:14" x14ac:dyDescent="0.25">
      <c r="A34" s="38"/>
      <c r="B34" s="26">
        <v>20</v>
      </c>
      <c r="C34" s="2">
        <v>100</v>
      </c>
      <c r="D34" s="13">
        <v>1.1E-5</v>
      </c>
      <c r="E34" s="13">
        <v>1.4E-5</v>
      </c>
      <c r="F34" s="13">
        <v>1.4E-5</v>
      </c>
      <c r="G34" s="13">
        <v>1.2999999999999999E-5</v>
      </c>
      <c r="H34" s="13">
        <v>2.1999999999999999E-5</v>
      </c>
      <c r="I34" s="13">
        <v>1.1E-5</v>
      </c>
      <c r="J34" s="13">
        <v>1.9000000000000001E-5</v>
      </c>
      <c r="K34" s="13">
        <v>1.2999999999999999E-5</v>
      </c>
      <c r="L34" s="13">
        <v>1.2E-5</v>
      </c>
      <c r="M34" s="13">
        <v>1.1E-5</v>
      </c>
      <c r="N34" s="14">
        <f t="shared" si="0"/>
        <v>1.1E-5</v>
      </c>
    </row>
    <row r="35" spans="1:14" x14ac:dyDescent="0.25">
      <c r="A35" s="38"/>
      <c r="B35" s="27"/>
      <c r="C35" s="1">
        <v>1000</v>
      </c>
      <c r="D35" s="15">
        <v>6.4999999999999994E-5</v>
      </c>
      <c r="E35" s="15">
        <v>5.3999999999999998E-5</v>
      </c>
      <c r="F35" s="15">
        <v>5.3000000000000001E-5</v>
      </c>
      <c r="G35" s="15">
        <v>4.3999999999999999E-5</v>
      </c>
      <c r="H35" s="15">
        <v>4.3000000000000002E-5</v>
      </c>
      <c r="I35" s="15">
        <v>8.3999999999999995E-5</v>
      </c>
      <c r="J35" s="15">
        <v>4.5000000000000003E-5</v>
      </c>
      <c r="K35" s="15">
        <v>4.0000000000000003E-5</v>
      </c>
      <c r="L35" s="15">
        <v>3.8999999999999999E-5</v>
      </c>
      <c r="M35" s="15">
        <v>4.3999999999999999E-5</v>
      </c>
      <c r="N35" s="16">
        <f t="shared" si="0"/>
        <v>3.8999999999999999E-5</v>
      </c>
    </row>
    <row r="36" spans="1:14" x14ac:dyDescent="0.25">
      <c r="A36" s="38"/>
      <c r="B36" s="27"/>
      <c r="C36" s="1">
        <v>10000</v>
      </c>
      <c r="D36" s="15">
        <v>3.2299999999999999E-4</v>
      </c>
      <c r="E36" s="15">
        <v>3.2600000000000001E-4</v>
      </c>
      <c r="F36" s="15">
        <v>3.8699999999999997E-4</v>
      </c>
      <c r="G36" s="15">
        <v>5.4199999999999995E-4</v>
      </c>
      <c r="H36" s="15">
        <v>3.4099999999999999E-4</v>
      </c>
      <c r="I36" s="15">
        <v>3.8499999999999998E-4</v>
      </c>
      <c r="J36" s="15">
        <v>3.21E-4</v>
      </c>
      <c r="K36" s="15">
        <v>3.8900000000000002E-4</v>
      </c>
      <c r="L36" s="15">
        <v>4.4900000000000002E-4</v>
      </c>
      <c r="M36" s="15">
        <v>3.7100000000000002E-4</v>
      </c>
      <c r="N36" s="16">
        <f t="shared" si="0"/>
        <v>3.21E-4</v>
      </c>
    </row>
    <row r="37" spans="1:14" x14ac:dyDescent="0.25">
      <c r="A37" s="38"/>
      <c r="B37" s="27"/>
      <c r="C37" s="1">
        <v>100000</v>
      </c>
      <c r="D37" s="15">
        <v>3.4269999999999999E-3</v>
      </c>
      <c r="E37" s="15">
        <v>3.3340000000000002E-3</v>
      </c>
      <c r="F37" s="15">
        <v>4.5409999999999999E-3</v>
      </c>
      <c r="G37" s="15">
        <v>3.431E-3</v>
      </c>
      <c r="H37" s="15">
        <v>3.3319999999999999E-3</v>
      </c>
      <c r="I37" s="15">
        <v>3.4120000000000001E-3</v>
      </c>
      <c r="J37" s="15">
        <v>3.199E-3</v>
      </c>
      <c r="K37" s="15">
        <v>3.5599999999999998E-3</v>
      </c>
      <c r="L37" s="15">
        <v>3.4559999999999999E-3</v>
      </c>
      <c r="M37" s="15">
        <v>3.901E-3</v>
      </c>
      <c r="N37" s="16">
        <f t="shared" si="0"/>
        <v>3.199E-3</v>
      </c>
    </row>
    <row r="38" spans="1:14" x14ac:dyDescent="0.25">
      <c r="A38" s="38"/>
      <c r="B38" s="27"/>
      <c r="C38" s="1">
        <v>1000000</v>
      </c>
      <c r="D38" s="15">
        <v>3.2773999999999998E-2</v>
      </c>
      <c r="E38" s="15">
        <v>3.2695000000000002E-2</v>
      </c>
      <c r="F38" s="15">
        <v>3.3631000000000001E-2</v>
      </c>
      <c r="G38" s="15">
        <v>3.2869000000000002E-2</v>
      </c>
      <c r="H38" s="15">
        <v>3.4076000000000002E-2</v>
      </c>
      <c r="I38" s="15">
        <v>3.2875000000000001E-2</v>
      </c>
      <c r="J38" s="15">
        <v>5.3699999999999998E-2</v>
      </c>
      <c r="K38" s="15">
        <v>3.4796000000000001E-2</v>
      </c>
      <c r="L38" s="15">
        <v>3.5746E-2</v>
      </c>
      <c r="M38" s="15">
        <v>3.1281999999999997E-2</v>
      </c>
      <c r="N38" s="16">
        <f t="shared" si="0"/>
        <v>3.1281999999999997E-2</v>
      </c>
    </row>
    <row r="39" spans="1:14" ht="15.75" thickBot="1" x14ac:dyDescent="0.3">
      <c r="A39" s="39"/>
      <c r="B39" s="28"/>
      <c r="C39" s="3">
        <v>10000000</v>
      </c>
      <c r="D39" s="17">
        <v>0.32917600000000002</v>
      </c>
      <c r="E39" s="17">
        <v>0.32564900000000002</v>
      </c>
      <c r="F39" s="17">
        <v>0.38564399999999999</v>
      </c>
      <c r="G39" s="17">
        <v>0.40609000000000001</v>
      </c>
      <c r="H39" s="17">
        <v>0.32986399999999999</v>
      </c>
      <c r="I39" s="17">
        <v>0.32049100000000003</v>
      </c>
      <c r="J39" s="17">
        <v>0.324743</v>
      </c>
      <c r="K39" s="17">
        <v>0.32729399999999997</v>
      </c>
      <c r="L39" s="17">
        <v>0.33810299999999999</v>
      </c>
      <c r="M39" s="17">
        <v>0.32199100000000003</v>
      </c>
      <c r="N39" s="18">
        <f t="shared" si="0"/>
        <v>0.32049100000000003</v>
      </c>
    </row>
    <row r="40" spans="1:14" x14ac:dyDescent="0.25">
      <c r="A40" s="37">
        <v>4</v>
      </c>
      <c r="B40" s="26">
        <v>5</v>
      </c>
      <c r="C40" s="2">
        <v>100</v>
      </c>
      <c r="D40" s="13">
        <v>1.7E-5</v>
      </c>
      <c r="E40" s="13">
        <v>1.9000000000000001E-5</v>
      </c>
      <c r="F40" s="13">
        <v>2.0999999999999999E-5</v>
      </c>
      <c r="G40" s="13">
        <v>1.4E-5</v>
      </c>
      <c r="H40" s="13">
        <v>1.2E-5</v>
      </c>
      <c r="I40" s="13">
        <v>1.2E-5</v>
      </c>
      <c r="J40" s="13">
        <v>1.1E-5</v>
      </c>
      <c r="K40" s="13">
        <v>1.9000000000000001E-5</v>
      </c>
      <c r="L40" s="13">
        <v>1.2E-5</v>
      </c>
      <c r="M40" s="13">
        <v>2.0999999999999999E-5</v>
      </c>
      <c r="N40" s="14">
        <f t="shared" si="0"/>
        <v>1.1E-5</v>
      </c>
    </row>
    <row r="41" spans="1:14" x14ac:dyDescent="0.25">
      <c r="A41" s="38"/>
      <c r="B41" s="27"/>
      <c r="C41" s="1">
        <v>1000</v>
      </c>
      <c r="D41" s="15">
        <v>3.4E-5</v>
      </c>
      <c r="E41" s="15">
        <v>3.1000000000000001E-5</v>
      </c>
      <c r="F41" s="15">
        <v>3.3000000000000003E-5</v>
      </c>
      <c r="G41" s="15">
        <v>2.8E-5</v>
      </c>
      <c r="H41" s="15">
        <v>2.9E-5</v>
      </c>
      <c r="I41" s="15">
        <v>3.0000000000000001E-5</v>
      </c>
      <c r="J41" s="15">
        <v>2.5999999999999998E-5</v>
      </c>
      <c r="K41" s="15">
        <v>2.6999999999999999E-5</v>
      </c>
      <c r="L41" s="15">
        <v>2.5999999999999998E-5</v>
      </c>
      <c r="M41" s="15">
        <v>3.4999999999999997E-5</v>
      </c>
      <c r="N41" s="16">
        <f t="shared" si="0"/>
        <v>2.5999999999999998E-5</v>
      </c>
    </row>
    <row r="42" spans="1:14" x14ac:dyDescent="0.25">
      <c r="A42" s="38"/>
      <c r="B42" s="27"/>
      <c r="C42" s="1">
        <v>10000</v>
      </c>
      <c r="D42" s="15">
        <v>1.8699999999999999E-4</v>
      </c>
      <c r="E42" s="15">
        <v>2.2499999999999999E-4</v>
      </c>
      <c r="F42" s="15">
        <v>1.93E-4</v>
      </c>
      <c r="G42" s="15">
        <v>2.43E-4</v>
      </c>
      <c r="H42" s="15">
        <v>2.14E-4</v>
      </c>
      <c r="I42" s="15">
        <v>2.0000000000000001E-4</v>
      </c>
      <c r="J42" s="15">
        <v>2.9999999999999997E-4</v>
      </c>
      <c r="K42" s="15">
        <v>1.7899999999999999E-4</v>
      </c>
      <c r="L42" s="15">
        <v>1.85E-4</v>
      </c>
      <c r="M42" s="15">
        <v>2.6699999999999998E-4</v>
      </c>
      <c r="N42" s="16">
        <f t="shared" si="0"/>
        <v>1.7899999999999999E-4</v>
      </c>
    </row>
    <row r="43" spans="1:14" x14ac:dyDescent="0.25">
      <c r="A43" s="38"/>
      <c r="B43" s="27"/>
      <c r="C43" s="1">
        <v>100000</v>
      </c>
      <c r="D43" s="15">
        <v>4.28E-3</v>
      </c>
      <c r="E43" s="15">
        <v>2.101E-3</v>
      </c>
      <c r="F43" s="15">
        <v>3.9309999999999996E-3</v>
      </c>
      <c r="G43" s="15">
        <v>2.31E-3</v>
      </c>
      <c r="H43" s="15">
        <v>2.0839999999999999E-3</v>
      </c>
      <c r="I43" s="15">
        <v>2.104E-3</v>
      </c>
      <c r="J43" s="15">
        <v>1.8159999999999999E-3</v>
      </c>
      <c r="K43" s="15">
        <v>2.3760000000000001E-3</v>
      </c>
      <c r="L43" s="15">
        <v>2.0070000000000001E-3</v>
      </c>
      <c r="M43" s="15">
        <v>1.928E-3</v>
      </c>
      <c r="N43" s="16">
        <f t="shared" si="0"/>
        <v>1.8159999999999999E-3</v>
      </c>
    </row>
    <row r="44" spans="1:14" x14ac:dyDescent="0.25">
      <c r="A44" s="38"/>
      <c r="B44" s="27"/>
      <c r="C44" s="1">
        <v>1000000</v>
      </c>
      <c r="D44" s="15">
        <v>1.5706999999999999E-2</v>
      </c>
      <c r="E44" s="15">
        <v>1.5251000000000001E-2</v>
      </c>
      <c r="F44" s="15">
        <v>1.5958E-2</v>
      </c>
      <c r="G44" s="15">
        <v>2.2681E-2</v>
      </c>
      <c r="H44" s="15">
        <v>1.8742999999999999E-2</v>
      </c>
      <c r="I44" s="15">
        <v>1.7156000000000001E-2</v>
      </c>
      <c r="J44" s="15">
        <v>1.8964999999999999E-2</v>
      </c>
      <c r="K44" s="15">
        <v>1.6126000000000001E-2</v>
      </c>
      <c r="L44" s="15">
        <v>1.6173E-2</v>
      </c>
      <c r="M44" s="15">
        <v>1.5911999999999999E-2</v>
      </c>
      <c r="N44" s="16">
        <f t="shared" si="0"/>
        <v>1.5251000000000001E-2</v>
      </c>
    </row>
    <row r="45" spans="1:14" ht="15.75" thickBot="1" x14ac:dyDescent="0.3">
      <c r="A45" s="38"/>
      <c r="B45" s="28"/>
      <c r="C45" s="3">
        <v>10000000</v>
      </c>
      <c r="D45" s="17">
        <v>0.178868</v>
      </c>
      <c r="E45" s="17">
        <v>0.177457</v>
      </c>
      <c r="F45" s="17">
        <v>0.20280200000000001</v>
      </c>
      <c r="G45" s="17">
        <v>0.191719</v>
      </c>
      <c r="H45" s="17">
        <v>0.17550399999999999</v>
      </c>
      <c r="I45" s="17">
        <v>0.20010900000000001</v>
      </c>
      <c r="J45" s="17">
        <v>0.18878200000000001</v>
      </c>
      <c r="K45" s="17">
        <v>0.17494499999999999</v>
      </c>
      <c r="L45" s="17">
        <v>0.19350300000000001</v>
      </c>
      <c r="M45" s="17">
        <v>0.182005</v>
      </c>
      <c r="N45" s="18">
        <f t="shared" si="0"/>
        <v>0.17494499999999999</v>
      </c>
    </row>
    <row r="46" spans="1:14" x14ac:dyDescent="0.25">
      <c r="A46" s="38"/>
      <c r="B46" s="26">
        <v>10</v>
      </c>
      <c r="C46" s="2">
        <v>100</v>
      </c>
      <c r="D46" s="13">
        <v>1.9000000000000001E-5</v>
      </c>
      <c r="E46" s="13">
        <v>5.5999999999999999E-5</v>
      </c>
      <c r="F46" s="13">
        <v>1.4E-5</v>
      </c>
      <c r="G46" s="13">
        <v>1.2999999999999999E-5</v>
      </c>
      <c r="H46" s="13">
        <v>2.4000000000000001E-5</v>
      </c>
      <c r="I46" s="13">
        <v>1.5E-5</v>
      </c>
      <c r="J46" s="13">
        <v>1.5999999999999999E-5</v>
      </c>
      <c r="K46" s="13">
        <v>1.0000000000000001E-5</v>
      </c>
      <c r="L46" s="13">
        <v>1.2999999999999999E-5</v>
      </c>
      <c r="M46" s="13">
        <v>1.2E-5</v>
      </c>
      <c r="N46" s="14">
        <f t="shared" si="0"/>
        <v>1.0000000000000001E-5</v>
      </c>
    </row>
    <row r="47" spans="1:14" x14ac:dyDescent="0.25">
      <c r="A47" s="38"/>
      <c r="B47" s="27"/>
      <c r="C47" s="1">
        <v>1000</v>
      </c>
      <c r="D47" s="15">
        <v>3.4E-5</v>
      </c>
      <c r="E47" s="15">
        <v>3.1999999999999999E-5</v>
      </c>
      <c r="F47" s="15">
        <v>2.8E-5</v>
      </c>
      <c r="G47" s="15">
        <v>3.6000000000000001E-5</v>
      </c>
      <c r="H47" s="15">
        <v>3.1000000000000001E-5</v>
      </c>
      <c r="I47" s="15">
        <v>3.6999999999999998E-5</v>
      </c>
      <c r="J47" s="15">
        <v>2.8E-5</v>
      </c>
      <c r="K47" s="15">
        <v>2.6999999999999999E-5</v>
      </c>
      <c r="L47" s="15">
        <v>3.0000000000000001E-5</v>
      </c>
      <c r="M47" s="15">
        <v>3.1999999999999999E-5</v>
      </c>
      <c r="N47" s="16">
        <f t="shared" si="0"/>
        <v>2.6999999999999999E-5</v>
      </c>
    </row>
    <row r="48" spans="1:14" x14ac:dyDescent="0.25">
      <c r="A48" s="38"/>
      <c r="B48" s="27"/>
      <c r="C48" s="1">
        <v>10000</v>
      </c>
      <c r="D48" s="15">
        <v>2.7599999999999999E-4</v>
      </c>
      <c r="E48" s="15">
        <v>1.9100000000000001E-4</v>
      </c>
      <c r="F48" s="15">
        <v>2.42E-4</v>
      </c>
      <c r="G48" s="15">
        <v>3.2200000000000002E-4</v>
      </c>
      <c r="H48" s="15">
        <v>2.5500000000000002E-4</v>
      </c>
      <c r="I48" s="15">
        <v>2.6200000000000003E-4</v>
      </c>
      <c r="J48" s="15">
        <v>2.7900000000000001E-4</v>
      </c>
      <c r="K48" s="15">
        <v>2.0000000000000001E-4</v>
      </c>
      <c r="L48" s="15">
        <v>2.1599999999999999E-4</v>
      </c>
      <c r="M48" s="15">
        <v>3.4499999999999998E-4</v>
      </c>
      <c r="N48" s="16">
        <f t="shared" si="0"/>
        <v>1.9100000000000001E-4</v>
      </c>
    </row>
    <row r="49" spans="1:14" x14ac:dyDescent="0.25">
      <c r="A49" s="38"/>
      <c r="B49" s="27"/>
      <c r="C49" s="1">
        <v>100000</v>
      </c>
      <c r="D49" s="15">
        <v>2.0249999999999999E-3</v>
      </c>
      <c r="E49" s="15">
        <v>2.0140000000000002E-3</v>
      </c>
      <c r="F49" s="15">
        <v>2.235E-3</v>
      </c>
      <c r="G49" s="15">
        <v>1.9469999999999999E-3</v>
      </c>
      <c r="H49" s="15">
        <v>1.933E-3</v>
      </c>
      <c r="I49" s="15">
        <v>1.882E-3</v>
      </c>
      <c r="J49" s="15">
        <v>2.5219999999999999E-3</v>
      </c>
      <c r="K49" s="15">
        <v>2.48E-3</v>
      </c>
      <c r="L49" s="15">
        <v>2.8410000000000002E-3</v>
      </c>
      <c r="M49" s="15">
        <v>2.1580000000000002E-3</v>
      </c>
      <c r="N49" s="16">
        <f t="shared" si="0"/>
        <v>1.882E-3</v>
      </c>
    </row>
    <row r="50" spans="1:14" x14ac:dyDescent="0.25">
      <c r="A50" s="38"/>
      <c r="B50" s="27"/>
      <c r="C50" s="1">
        <v>1000000</v>
      </c>
      <c r="D50" s="15">
        <v>2.2185E-2</v>
      </c>
      <c r="E50" s="15">
        <v>1.8221000000000001E-2</v>
      </c>
      <c r="F50" s="15">
        <v>1.8048999999999999E-2</v>
      </c>
      <c r="G50" s="15">
        <v>2.3994000000000001E-2</v>
      </c>
      <c r="H50" s="15">
        <v>1.8095E-2</v>
      </c>
      <c r="I50" s="15">
        <v>2.0962000000000001E-2</v>
      </c>
      <c r="J50" s="15">
        <v>2.1468999999999999E-2</v>
      </c>
      <c r="K50" s="15">
        <v>1.8062999999999999E-2</v>
      </c>
      <c r="L50" s="15">
        <v>1.8591E-2</v>
      </c>
      <c r="M50" s="15">
        <v>1.983E-2</v>
      </c>
      <c r="N50" s="16">
        <f t="shared" si="0"/>
        <v>1.8048999999999999E-2</v>
      </c>
    </row>
    <row r="51" spans="1:14" ht="15.75" thickBot="1" x14ac:dyDescent="0.3">
      <c r="A51" s="38"/>
      <c r="B51" s="28"/>
      <c r="C51" s="3">
        <v>10000000</v>
      </c>
      <c r="D51" s="17">
        <v>0.20668300000000001</v>
      </c>
      <c r="E51" s="17">
        <v>0.223798</v>
      </c>
      <c r="F51" s="17">
        <v>0.24354700000000001</v>
      </c>
      <c r="G51" s="17">
        <v>0.21761</v>
      </c>
      <c r="H51" s="17">
        <v>0.30937999999999999</v>
      </c>
      <c r="I51" s="17">
        <v>0.21638299999999999</v>
      </c>
      <c r="J51" s="17">
        <v>0.220022</v>
      </c>
      <c r="K51" s="17">
        <v>0.21595500000000001</v>
      </c>
      <c r="L51" s="17">
        <v>0.227546</v>
      </c>
      <c r="M51" s="17">
        <v>0.21970500000000001</v>
      </c>
      <c r="N51" s="18">
        <f t="shared" si="0"/>
        <v>0.20668300000000001</v>
      </c>
    </row>
    <row r="52" spans="1:14" x14ac:dyDescent="0.25">
      <c r="A52" s="38"/>
      <c r="B52" s="26">
        <v>20</v>
      </c>
      <c r="C52" s="2">
        <v>100</v>
      </c>
      <c r="D52" s="13">
        <v>1.2999999999999999E-5</v>
      </c>
      <c r="E52" s="13">
        <v>1.1E-5</v>
      </c>
      <c r="F52" s="13">
        <v>1.4E-5</v>
      </c>
      <c r="G52" s="13">
        <v>1.1E-5</v>
      </c>
      <c r="H52" s="13">
        <v>1.7E-5</v>
      </c>
      <c r="I52" s="13">
        <v>1.5999999999999999E-5</v>
      </c>
      <c r="J52" s="13">
        <v>1.2E-5</v>
      </c>
      <c r="K52" s="13">
        <v>1.5999999999999999E-5</v>
      </c>
      <c r="L52" s="13">
        <v>2.0999999999999999E-5</v>
      </c>
      <c r="M52" s="13">
        <v>1.5E-5</v>
      </c>
      <c r="N52" s="14">
        <f t="shared" si="0"/>
        <v>1.1E-5</v>
      </c>
    </row>
    <row r="53" spans="1:14" x14ac:dyDescent="0.25">
      <c r="A53" s="38"/>
      <c r="B53" s="27"/>
      <c r="C53" s="1">
        <v>1000</v>
      </c>
      <c r="D53" s="15">
        <v>3.6999999999999998E-5</v>
      </c>
      <c r="E53" s="15">
        <v>6.4999999999999994E-5</v>
      </c>
      <c r="F53" s="15">
        <v>3.1000000000000001E-5</v>
      </c>
      <c r="G53" s="15">
        <v>1.64E-4</v>
      </c>
      <c r="H53" s="15">
        <v>3.4999999999999997E-5</v>
      </c>
      <c r="I53" s="15">
        <v>3.3000000000000003E-5</v>
      </c>
      <c r="J53" s="15">
        <v>1.2E-4</v>
      </c>
      <c r="K53" s="15">
        <v>4.1999999999999998E-5</v>
      </c>
      <c r="L53" s="15">
        <v>3.4E-5</v>
      </c>
      <c r="M53" s="15">
        <v>3.1999999999999999E-5</v>
      </c>
      <c r="N53" s="16">
        <f t="shared" si="0"/>
        <v>3.1000000000000001E-5</v>
      </c>
    </row>
    <row r="54" spans="1:14" x14ac:dyDescent="0.25">
      <c r="A54" s="38"/>
      <c r="B54" s="27"/>
      <c r="C54" s="1">
        <v>10000</v>
      </c>
      <c r="D54" s="15">
        <v>2.3499999999999999E-4</v>
      </c>
      <c r="E54" s="15">
        <v>2.6499999999999999E-4</v>
      </c>
      <c r="F54" s="15">
        <v>2.4600000000000002E-4</v>
      </c>
      <c r="G54" s="15">
        <v>2.8499999999999999E-4</v>
      </c>
      <c r="H54" s="15">
        <v>2.6200000000000003E-4</v>
      </c>
      <c r="I54" s="15">
        <v>3.1799999999999998E-4</v>
      </c>
      <c r="J54" s="15">
        <v>2.4399999999999999E-4</v>
      </c>
      <c r="K54" s="15">
        <v>3.01E-4</v>
      </c>
      <c r="L54" s="15">
        <v>2.7700000000000001E-4</v>
      </c>
      <c r="M54" s="15">
        <v>2.3000000000000001E-4</v>
      </c>
      <c r="N54" s="16">
        <f t="shared" si="0"/>
        <v>2.3000000000000001E-4</v>
      </c>
    </row>
    <row r="55" spans="1:14" x14ac:dyDescent="0.25">
      <c r="A55" s="38"/>
      <c r="B55" s="27"/>
      <c r="C55" s="1">
        <v>100000</v>
      </c>
      <c r="D55" s="15">
        <v>2.758E-3</v>
      </c>
      <c r="E55" s="15">
        <v>2.261E-3</v>
      </c>
      <c r="F55" s="15">
        <v>2.431E-3</v>
      </c>
      <c r="G55" s="15">
        <v>2.3370000000000001E-3</v>
      </c>
      <c r="H55" s="15">
        <v>2.7620000000000001E-3</v>
      </c>
      <c r="I55" s="15">
        <v>2.3019999999999998E-3</v>
      </c>
      <c r="J55" s="15">
        <v>2.2109999999999999E-3</v>
      </c>
      <c r="K55" s="15">
        <v>2.8639999999999998E-3</v>
      </c>
      <c r="L55" s="15">
        <v>2.6740000000000002E-3</v>
      </c>
      <c r="M55" s="15">
        <v>2.323E-3</v>
      </c>
      <c r="N55" s="16">
        <f t="shared" si="0"/>
        <v>2.2109999999999999E-3</v>
      </c>
    </row>
    <row r="56" spans="1:14" x14ac:dyDescent="0.25">
      <c r="A56" s="38"/>
      <c r="B56" s="27"/>
      <c r="C56" s="1">
        <v>1000000</v>
      </c>
      <c r="D56" s="15">
        <v>2.1371000000000001E-2</v>
      </c>
      <c r="E56" s="15">
        <v>2.6370000000000001E-2</v>
      </c>
      <c r="F56" s="15">
        <v>2.1963E-2</v>
      </c>
      <c r="G56" s="15">
        <v>2.2135999999999999E-2</v>
      </c>
      <c r="H56" s="15">
        <v>2.1198999999999999E-2</v>
      </c>
      <c r="I56" s="15">
        <v>2.1441000000000002E-2</v>
      </c>
      <c r="J56" s="15">
        <v>2.5073999999999999E-2</v>
      </c>
      <c r="K56" s="15">
        <v>2.2530999999999999E-2</v>
      </c>
      <c r="L56" s="15">
        <v>2.1339E-2</v>
      </c>
      <c r="M56" s="15">
        <v>2.5801999999999999E-2</v>
      </c>
      <c r="N56" s="16">
        <f t="shared" si="0"/>
        <v>2.1198999999999999E-2</v>
      </c>
    </row>
    <row r="57" spans="1:14" ht="15.75" thickBot="1" x14ac:dyDescent="0.3">
      <c r="A57" s="39"/>
      <c r="B57" s="28"/>
      <c r="C57" s="3">
        <v>10000000</v>
      </c>
      <c r="D57" s="17">
        <v>0.233903</v>
      </c>
      <c r="E57" s="17">
        <v>0.226882</v>
      </c>
      <c r="F57" s="17">
        <v>0.25817400000000001</v>
      </c>
      <c r="G57" s="17">
        <v>0.25051000000000001</v>
      </c>
      <c r="H57" s="17">
        <v>0.23743500000000001</v>
      </c>
      <c r="I57" s="17">
        <v>0.23295099999999999</v>
      </c>
      <c r="J57" s="17">
        <v>0.23310400000000001</v>
      </c>
      <c r="K57" s="17">
        <v>0.22825899999999999</v>
      </c>
      <c r="L57" s="17">
        <v>0.240172</v>
      </c>
      <c r="M57" s="17">
        <v>0.244754</v>
      </c>
      <c r="N57" s="18">
        <f t="shared" si="0"/>
        <v>0.226882</v>
      </c>
    </row>
  </sheetData>
  <mergeCells count="18">
    <mergeCell ref="B34:B39"/>
    <mergeCell ref="B52:B57"/>
    <mergeCell ref="A4:A21"/>
    <mergeCell ref="A22:A39"/>
    <mergeCell ref="A40:A57"/>
    <mergeCell ref="B40:B45"/>
    <mergeCell ref="B46:B51"/>
    <mergeCell ref="B28:B33"/>
    <mergeCell ref="D2:M2"/>
    <mergeCell ref="A2:A3"/>
    <mergeCell ref="B2:B3"/>
    <mergeCell ref="C2:C3"/>
    <mergeCell ref="B16:B21"/>
    <mergeCell ref="N2:N3"/>
    <mergeCell ref="A1:N1"/>
    <mergeCell ref="B4:B9"/>
    <mergeCell ref="B10:B15"/>
    <mergeCell ref="B22:B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54F6-51FD-4988-BAA1-DDE6B8D9353D}">
  <dimension ref="A1:H38"/>
  <sheetViews>
    <sheetView tabSelected="1" zoomScale="190" zoomScaleNormal="190" workbookViewId="0">
      <selection activeCell="D37" sqref="D37"/>
    </sheetView>
  </sheetViews>
  <sheetFormatPr defaultRowHeight="15" x14ac:dyDescent="0.25"/>
  <cols>
    <col min="2" max="2" width="10.7109375" customWidth="1"/>
  </cols>
  <sheetData>
    <row r="1" spans="1:8" x14ac:dyDescent="0.25">
      <c r="A1" s="23" t="s">
        <v>3</v>
      </c>
      <c r="B1" s="24"/>
      <c r="C1" s="24"/>
      <c r="D1" s="24"/>
      <c r="E1" s="24"/>
      <c r="F1" s="24"/>
      <c r="G1" s="24"/>
      <c r="H1" s="25"/>
    </row>
    <row r="2" spans="1:8" x14ac:dyDescent="0.25">
      <c r="A2" s="40" t="s">
        <v>0</v>
      </c>
      <c r="B2" s="42" t="s">
        <v>1</v>
      </c>
      <c r="C2" s="44" t="s">
        <v>2</v>
      </c>
      <c r="D2" s="45"/>
      <c r="E2" s="45"/>
      <c r="F2" s="45"/>
      <c r="G2" s="45"/>
      <c r="H2" s="46"/>
    </row>
    <row r="3" spans="1:8" ht="15.75" thickBot="1" x14ac:dyDescent="0.3">
      <c r="A3" s="41"/>
      <c r="B3" s="43"/>
      <c r="C3" s="19">
        <v>100</v>
      </c>
      <c r="D3" s="19">
        <v>1000</v>
      </c>
      <c r="E3" s="19">
        <v>10000</v>
      </c>
      <c r="F3" s="19">
        <v>100000</v>
      </c>
      <c r="G3" s="19">
        <v>1000000</v>
      </c>
      <c r="H3" s="20">
        <v>10000000</v>
      </c>
    </row>
    <row r="4" spans="1:8" x14ac:dyDescent="0.25">
      <c r="A4" s="26">
        <v>5</v>
      </c>
      <c r="B4" s="5">
        <v>1</v>
      </c>
      <c r="C4" s="13">
        <v>1.2999999999999999E-5</v>
      </c>
      <c r="D4" s="13">
        <v>4.5000000000000003E-5</v>
      </c>
      <c r="E4" s="13">
        <v>3.4900000000000003E-4</v>
      </c>
      <c r="F4" s="13">
        <v>3.4139999999999999E-3</v>
      </c>
      <c r="G4" s="13">
        <v>3.4027000000000002E-2</v>
      </c>
      <c r="H4" s="14">
        <v>0.34607399999999999</v>
      </c>
    </row>
    <row r="5" spans="1:8" x14ac:dyDescent="0.25">
      <c r="A5" s="27"/>
      <c r="B5" s="4">
        <v>2</v>
      </c>
      <c r="C5" s="15">
        <v>1.0000000000000001E-5</v>
      </c>
      <c r="D5" s="15">
        <v>3.0000000000000001E-5</v>
      </c>
      <c r="E5" s="15">
        <v>2.22E-4</v>
      </c>
      <c r="F5" s="15">
        <v>2.183E-3</v>
      </c>
      <c r="G5" s="15">
        <v>2.1129999999999999E-2</v>
      </c>
      <c r="H5" s="16">
        <v>0.216275</v>
      </c>
    </row>
    <row r="6" spans="1:8" ht="15.75" thickBot="1" x14ac:dyDescent="0.3">
      <c r="A6" s="28"/>
      <c r="B6" s="6">
        <v>4</v>
      </c>
      <c r="C6" s="17">
        <v>1.1E-5</v>
      </c>
      <c r="D6" s="17">
        <v>2.5999999999999998E-5</v>
      </c>
      <c r="E6" s="17">
        <v>1.7899999999999999E-4</v>
      </c>
      <c r="F6" s="17">
        <v>1.8159999999999999E-3</v>
      </c>
      <c r="G6" s="17">
        <v>1.5251000000000001E-2</v>
      </c>
      <c r="H6" s="18">
        <v>0.17494499999999999</v>
      </c>
    </row>
    <row r="7" spans="1:8" x14ac:dyDescent="0.25">
      <c r="A7" s="26">
        <v>10</v>
      </c>
      <c r="B7" s="5">
        <v>1</v>
      </c>
      <c r="C7" s="13">
        <v>1.5E-5</v>
      </c>
      <c r="D7" s="13">
        <v>5.5000000000000002E-5</v>
      </c>
      <c r="E7" s="13">
        <v>4.44E-4</v>
      </c>
      <c r="F7" s="13">
        <v>4.3759999999999997E-3</v>
      </c>
      <c r="G7" s="13">
        <v>4.4637000000000003E-2</v>
      </c>
      <c r="H7" s="14">
        <v>0.44375399999999998</v>
      </c>
    </row>
    <row r="8" spans="1:8" x14ac:dyDescent="0.25">
      <c r="A8" s="27"/>
      <c r="B8" s="4">
        <v>2</v>
      </c>
      <c r="C8" s="15">
        <v>1.1E-5</v>
      </c>
      <c r="D8" s="15">
        <v>3.4999999999999997E-5</v>
      </c>
      <c r="E8" s="15">
        <v>2.72E-4</v>
      </c>
      <c r="F8" s="15">
        <v>2.6930000000000001E-3</v>
      </c>
      <c r="G8" s="15">
        <v>2.6034000000000002E-2</v>
      </c>
      <c r="H8" s="16">
        <v>0.27624100000000001</v>
      </c>
    </row>
    <row r="9" spans="1:8" ht="15.75" thickBot="1" x14ac:dyDescent="0.3">
      <c r="A9" s="28"/>
      <c r="B9" s="6">
        <v>4</v>
      </c>
      <c r="C9" s="17">
        <v>1.0000000000000001E-5</v>
      </c>
      <c r="D9" s="17">
        <v>2.6999999999999999E-5</v>
      </c>
      <c r="E9" s="17">
        <v>1.9100000000000001E-4</v>
      </c>
      <c r="F9" s="17">
        <v>1.882E-3</v>
      </c>
      <c r="G9" s="17">
        <v>1.8048999999999999E-2</v>
      </c>
      <c r="H9" s="18">
        <v>0.20668300000000001</v>
      </c>
    </row>
    <row r="10" spans="1:8" x14ac:dyDescent="0.25">
      <c r="A10" s="26">
        <v>20</v>
      </c>
      <c r="B10" s="5">
        <v>1</v>
      </c>
      <c r="C10" s="13">
        <v>1.5E-5</v>
      </c>
      <c r="D10" s="13">
        <v>5.5000000000000002E-5</v>
      </c>
      <c r="E10" s="13">
        <v>4.44E-4</v>
      </c>
      <c r="F10" s="13">
        <v>4.3759999999999997E-3</v>
      </c>
      <c r="G10" s="13">
        <v>4.4637000000000003E-2</v>
      </c>
      <c r="H10" s="14">
        <v>0.44375399999999998</v>
      </c>
    </row>
    <row r="11" spans="1:8" x14ac:dyDescent="0.25">
      <c r="A11" s="27"/>
      <c r="B11" s="4">
        <v>2</v>
      </c>
      <c r="C11" s="15">
        <v>1.1E-5</v>
      </c>
      <c r="D11" s="15">
        <v>3.8999999999999999E-5</v>
      </c>
      <c r="E11" s="15">
        <v>3.21E-4</v>
      </c>
      <c r="F11" s="15">
        <v>3.199E-3</v>
      </c>
      <c r="G11" s="15">
        <v>3.1281999999999997E-2</v>
      </c>
      <c r="H11" s="16">
        <v>0.32049100000000003</v>
      </c>
    </row>
    <row r="12" spans="1:8" ht="15.75" thickBot="1" x14ac:dyDescent="0.3">
      <c r="A12" s="28"/>
      <c r="B12" s="6">
        <v>4</v>
      </c>
      <c r="C12" s="17">
        <v>1.1E-5</v>
      </c>
      <c r="D12" s="17">
        <v>3.1000000000000001E-5</v>
      </c>
      <c r="E12" s="17">
        <v>2.3000000000000001E-4</v>
      </c>
      <c r="F12" s="17">
        <v>2.2109999999999999E-3</v>
      </c>
      <c r="G12" s="17">
        <v>2.1198999999999999E-2</v>
      </c>
      <c r="H12" s="18">
        <v>0.226882</v>
      </c>
    </row>
    <row r="13" spans="1:8" ht="15.75" thickBot="1" x14ac:dyDescent="0.3"/>
    <row r="14" spans="1:8" x14ac:dyDescent="0.25">
      <c r="A14" s="23" t="s">
        <v>5</v>
      </c>
      <c r="B14" s="24"/>
      <c r="C14" s="24"/>
      <c r="D14" s="24"/>
      <c r="E14" s="24"/>
      <c r="F14" s="24"/>
      <c r="G14" s="24"/>
      <c r="H14" s="25"/>
    </row>
    <row r="15" spans="1:8" ht="15.75" customHeight="1" x14ac:dyDescent="0.25">
      <c r="A15" s="40" t="s">
        <v>0</v>
      </c>
      <c r="B15" s="42" t="s">
        <v>1</v>
      </c>
      <c r="C15" s="44" t="s">
        <v>2</v>
      </c>
      <c r="D15" s="45"/>
      <c r="E15" s="45"/>
      <c r="F15" s="45"/>
      <c r="G15" s="45"/>
      <c r="H15" s="46"/>
    </row>
    <row r="16" spans="1:8" ht="15.75" thickBot="1" x14ac:dyDescent="0.3">
      <c r="A16" s="41"/>
      <c r="B16" s="43"/>
      <c r="C16" s="19">
        <v>100</v>
      </c>
      <c r="D16" s="19">
        <v>1000</v>
      </c>
      <c r="E16" s="19">
        <v>10000</v>
      </c>
      <c r="F16" s="19">
        <v>100000</v>
      </c>
      <c r="G16" s="19">
        <v>1000000</v>
      </c>
      <c r="H16" s="20">
        <v>10000000</v>
      </c>
    </row>
    <row r="17" spans="1:8" x14ac:dyDescent="0.25">
      <c r="A17" s="26">
        <v>5</v>
      </c>
      <c r="B17" s="5">
        <v>1</v>
      </c>
      <c r="C17" s="7">
        <f t="shared" ref="C17:H17" si="0">C4/C4</f>
        <v>1</v>
      </c>
      <c r="D17" s="7">
        <f t="shared" si="0"/>
        <v>1</v>
      </c>
      <c r="E17" s="7">
        <f t="shared" si="0"/>
        <v>1</v>
      </c>
      <c r="F17" s="7">
        <f t="shared" si="0"/>
        <v>1</v>
      </c>
      <c r="G17" s="7">
        <f t="shared" si="0"/>
        <v>1</v>
      </c>
      <c r="H17" s="8">
        <f t="shared" si="0"/>
        <v>1</v>
      </c>
    </row>
    <row r="18" spans="1:8" x14ac:dyDescent="0.25">
      <c r="A18" s="27"/>
      <c r="B18" s="4">
        <v>2</v>
      </c>
      <c r="C18" s="9">
        <f t="shared" ref="C18:H18" si="1">C4/C5</f>
        <v>1.2999999999999998</v>
      </c>
      <c r="D18" s="9">
        <f t="shared" si="1"/>
        <v>1.5</v>
      </c>
      <c r="E18" s="9">
        <f t="shared" si="1"/>
        <v>1.5720720720720722</v>
      </c>
      <c r="F18" s="9">
        <f t="shared" si="1"/>
        <v>1.5639028859367843</v>
      </c>
      <c r="G18" s="9">
        <f t="shared" si="1"/>
        <v>1.6103644107903456</v>
      </c>
      <c r="H18" s="10">
        <f t="shared" si="1"/>
        <v>1.6001572072592765</v>
      </c>
    </row>
    <row r="19" spans="1:8" ht="15.75" thickBot="1" x14ac:dyDescent="0.3">
      <c r="A19" s="28"/>
      <c r="B19" s="6">
        <v>4</v>
      </c>
      <c r="C19" s="11">
        <f t="shared" ref="C19:H19" si="2">C4/C6</f>
        <v>1.1818181818181819</v>
      </c>
      <c r="D19" s="11">
        <f t="shared" si="2"/>
        <v>1.7307692307692311</v>
      </c>
      <c r="E19" s="11">
        <f t="shared" si="2"/>
        <v>1.9497206703910617</v>
      </c>
      <c r="F19" s="11">
        <f t="shared" si="2"/>
        <v>1.8799559471365639</v>
      </c>
      <c r="G19" s="11">
        <f t="shared" si="2"/>
        <v>2.2311323847616551</v>
      </c>
      <c r="H19" s="12">
        <f t="shared" si="2"/>
        <v>1.9781874303352482</v>
      </c>
    </row>
    <row r="20" spans="1:8" x14ac:dyDescent="0.25">
      <c r="A20" s="26">
        <v>10</v>
      </c>
      <c r="B20" s="5">
        <v>1</v>
      </c>
      <c r="C20" s="7">
        <f t="shared" ref="C20:H20" si="3">C7/C7</f>
        <v>1</v>
      </c>
      <c r="D20" s="7">
        <f t="shared" si="3"/>
        <v>1</v>
      </c>
      <c r="E20" s="7">
        <f t="shared" si="3"/>
        <v>1</v>
      </c>
      <c r="F20" s="7">
        <f t="shared" si="3"/>
        <v>1</v>
      </c>
      <c r="G20" s="7">
        <f t="shared" si="3"/>
        <v>1</v>
      </c>
      <c r="H20" s="8">
        <f t="shared" si="3"/>
        <v>1</v>
      </c>
    </row>
    <row r="21" spans="1:8" x14ac:dyDescent="0.25">
      <c r="A21" s="27"/>
      <c r="B21" s="4">
        <v>2</v>
      </c>
      <c r="C21" s="9">
        <f t="shared" ref="C21:H21" si="4">C7/C8</f>
        <v>1.3636363636363638</v>
      </c>
      <c r="D21" s="9">
        <f t="shared" si="4"/>
        <v>1.5714285714285716</v>
      </c>
      <c r="E21" s="9">
        <f t="shared" si="4"/>
        <v>1.6323529411764706</v>
      </c>
      <c r="F21" s="9">
        <f t="shared" si="4"/>
        <v>1.6249535833642776</v>
      </c>
      <c r="G21" s="9">
        <f t="shared" si="4"/>
        <v>1.7145655681032497</v>
      </c>
      <c r="H21" s="10">
        <f t="shared" si="4"/>
        <v>1.6064016565245562</v>
      </c>
    </row>
    <row r="22" spans="1:8" ht="15.75" thickBot="1" x14ac:dyDescent="0.3">
      <c r="A22" s="28"/>
      <c r="B22" s="6">
        <v>4</v>
      </c>
      <c r="C22" s="11">
        <f t="shared" ref="C22:H22" si="5">C7/C9</f>
        <v>1.5</v>
      </c>
      <c r="D22" s="11">
        <f t="shared" si="5"/>
        <v>2.0370370370370372</v>
      </c>
      <c r="E22" s="11">
        <f t="shared" si="5"/>
        <v>2.3246073298429319</v>
      </c>
      <c r="F22" s="11">
        <f t="shared" si="5"/>
        <v>2.3251859723698192</v>
      </c>
      <c r="G22" s="11">
        <f t="shared" si="5"/>
        <v>2.4731010028256417</v>
      </c>
      <c r="H22" s="12">
        <f t="shared" si="5"/>
        <v>2.1470270897945163</v>
      </c>
    </row>
    <row r="23" spans="1:8" x14ac:dyDescent="0.25">
      <c r="A23" s="26">
        <v>20</v>
      </c>
      <c r="B23" s="5">
        <v>1</v>
      </c>
      <c r="C23" s="7">
        <f t="shared" ref="C23:H23" si="6">C10/C10</f>
        <v>1</v>
      </c>
      <c r="D23" s="7">
        <f t="shared" si="6"/>
        <v>1</v>
      </c>
      <c r="E23" s="7">
        <f t="shared" si="6"/>
        <v>1</v>
      </c>
      <c r="F23" s="7">
        <f t="shared" si="6"/>
        <v>1</v>
      </c>
      <c r="G23" s="7">
        <f t="shared" si="6"/>
        <v>1</v>
      </c>
      <c r="H23" s="8">
        <f t="shared" si="6"/>
        <v>1</v>
      </c>
    </row>
    <row r="24" spans="1:8" x14ac:dyDescent="0.25">
      <c r="A24" s="27"/>
      <c r="B24" s="4">
        <v>2</v>
      </c>
      <c r="C24" s="9">
        <f t="shared" ref="C24:H24" si="7">C10/C11</f>
        <v>1.3636363636363638</v>
      </c>
      <c r="D24" s="9">
        <f t="shared" si="7"/>
        <v>1.4102564102564104</v>
      </c>
      <c r="E24" s="9">
        <f t="shared" si="7"/>
        <v>1.3831775700934579</v>
      </c>
      <c r="F24" s="9">
        <f t="shared" si="7"/>
        <v>1.3679274773366676</v>
      </c>
      <c r="G24" s="9">
        <f t="shared" si="7"/>
        <v>1.4269228310210347</v>
      </c>
      <c r="H24" s="10">
        <f t="shared" si="7"/>
        <v>1.3846067440271332</v>
      </c>
    </row>
    <row r="25" spans="1:8" ht="15.75" thickBot="1" x14ac:dyDescent="0.3">
      <c r="A25" s="28"/>
      <c r="B25" s="6">
        <v>4</v>
      </c>
      <c r="C25" s="11">
        <f t="shared" ref="C25:H25" si="8">C10/C12</f>
        <v>1.3636363636363638</v>
      </c>
      <c r="D25" s="11">
        <f t="shared" si="8"/>
        <v>1.7741935483870968</v>
      </c>
      <c r="E25" s="11">
        <f t="shared" si="8"/>
        <v>1.9304347826086956</v>
      </c>
      <c r="F25" s="11">
        <f t="shared" si="8"/>
        <v>1.9791949344188149</v>
      </c>
      <c r="G25" s="11">
        <f t="shared" si="8"/>
        <v>2.1056181895372426</v>
      </c>
      <c r="H25" s="12">
        <f t="shared" si="8"/>
        <v>1.9558801491524227</v>
      </c>
    </row>
    <row r="26" spans="1:8" ht="15.75" thickBot="1" x14ac:dyDescent="0.3"/>
    <row r="27" spans="1:8" x14ac:dyDescent="0.25">
      <c r="A27" s="23" t="s">
        <v>4</v>
      </c>
      <c r="B27" s="24"/>
      <c r="C27" s="24"/>
      <c r="D27" s="24"/>
      <c r="E27" s="24"/>
      <c r="F27" s="24"/>
      <c r="G27" s="24"/>
      <c r="H27" s="25"/>
    </row>
    <row r="28" spans="1:8" x14ac:dyDescent="0.25">
      <c r="A28" s="40" t="s">
        <v>0</v>
      </c>
      <c r="B28" s="42" t="s">
        <v>1</v>
      </c>
      <c r="C28" s="44" t="s">
        <v>2</v>
      </c>
      <c r="D28" s="45"/>
      <c r="E28" s="45"/>
      <c r="F28" s="45"/>
      <c r="G28" s="45"/>
      <c r="H28" s="46"/>
    </row>
    <row r="29" spans="1:8" ht="15.75" thickBot="1" x14ac:dyDescent="0.3">
      <c r="A29" s="41"/>
      <c r="B29" s="43"/>
      <c r="C29" s="19">
        <v>100</v>
      </c>
      <c r="D29" s="19">
        <v>1000</v>
      </c>
      <c r="E29" s="19">
        <v>10000</v>
      </c>
      <c r="F29" s="19">
        <v>100000</v>
      </c>
      <c r="G29" s="19">
        <v>1000000</v>
      </c>
      <c r="H29" s="20">
        <v>10000000</v>
      </c>
    </row>
    <row r="30" spans="1:8" x14ac:dyDescent="0.25">
      <c r="A30" s="26">
        <v>5</v>
      </c>
      <c r="B30" s="5">
        <v>1</v>
      </c>
      <c r="C30" s="7">
        <f t="shared" ref="C30:H30" si="9">C4/($B$4*C4)</f>
        <v>1</v>
      </c>
      <c r="D30" s="7">
        <f t="shared" si="9"/>
        <v>1</v>
      </c>
      <c r="E30" s="7">
        <f t="shared" si="9"/>
        <v>1</v>
      </c>
      <c r="F30" s="7">
        <f t="shared" si="9"/>
        <v>1</v>
      </c>
      <c r="G30" s="7">
        <f t="shared" si="9"/>
        <v>1</v>
      </c>
      <c r="H30" s="8">
        <f t="shared" si="9"/>
        <v>1</v>
      </c>
    </row>
    <row r="31" spans="1:8" x14ac:dyDescent="0.25">
      <c r="A31" s="27"/>
      <c r="B31" s="4">
        <v>2</v>
      </c>
      <c r="C31" s="9">
        <f t="shared" ref="C31:H31" si="10">C4/($B$5*C5)</f>
        <v>0.64999999999999991</v>
      </c>
      <c r="D31" s="9">
        <f t="shared" si="10"/>
        <v>0.75</v>
      </c>
      <c r="E31" s="9">
        <f t="shared" si="10"/>
        <v>0.78603603603603611</v>
      </c>
      <c r="F31" s="9">
        <f t="shared" si="10"/>
        <v>0.78195144296839214</v>
      </c>
      <c r="G31" s="9">
        <f t="shared" si="10"/>
        <v>0.80518220539517282</v>
      </c>
      <c r="H31" s="10">
        <f t="shared" si="10"/>
        <v>0.80007860362963823</v>
      </c>
    </row>
    <row r="32" spans="1:8" ht="15.75" thickBot="1" x14ac:dyDescent="0.3">
      <c r="A32" s="28"/>
      <c r="B32" s="6">
        <v>4</v>
      </c>
      <c r="C32" s="11">
        <f t="shared" ref="C32:H32" si="11">C4/($B$6*C6)</f>
        <v>0.29545454545454547</v>
      </c>
      <c r="D32" s="11">
        <f t="shared" si="11"/>
        <v>0.43269230769230776</v>
      </c>
      <c r="E32" s="11">
        <f t="shared" si="11"/>
        <v>0.48743016759776542</v>
      </c>
      <c r="F32" s="11">
        <f t="shared" si="11"/>
        <v>0.46998898678414097</v>
      </c>
      <c r="G32" s="11">
        <f t="shared" si="11"/>
        <v>0.55778309619041377</v>
      </c>
      <c r="H32" s="12">
        <f t="shared" si="11"/>
        <v>0.49454685758381206</v>
      </c>
    </row>
    <row r="33" spans="1:8" x14ac:dyDescent="0.25">
      <c r="A33" s="26">
        <v>10</v>
      </c>
      <c r="B33" s="5">
        <v>1</v>
      </c>
      <c r="C33" s="7">
        <f t="shared" ref="C33:H33" si="12">C7/($B$7*C7)</f>
        <v>1</v>
      </c>
      <c r="D33" s="7">
        <f t="shared" si="12"/>
        <v>1</v>
      </c>
      <c r="E33" s="7">
        <f t="shared" si="12"/>
        <v>1</v>
      </c>
      <c r="F33" s="7">
        <f t="shared" si="12"/>
        <v>1</v>
      </c>
      <c r="G33" s="7">
        <f t="shared" si="12"/>
        <v>1</v>
      </c>
      <c r="H33" s="8">
        <f t="shared" si="12"/>
        <v>1</v>
      </c>
    </row>
    <row r="34" spans="1:8" x14ac:dyDescent="0.25">
      <c r="A34" s="27"/>
      <c r="B34" s="4">
        <v>2</v>
      </c>
      <c r="C34" s="9">
        <f t="shared" ref="C34:H34" si="13">C7/($B$8*C8)</f>
        <v>0.68181818181818188</v>
      </c>
      <c r="D34" s="9">
        <f t="shared" si="13"/>
        <v>0.78571428571428581</v>
      </c>
      <c r="E34" s="9">
        <f t="shared" si="13"/>
        <v>0.81617647058823528</v>
      </c>
      <c r="F34" s="9">
        <f t="shared" si="13"/>
        <v>0.81247679168213882</v>
      </c>
      <c r="G34" s="9">
        <f t="shared" si="13"/>
        <v>0.85728278405162484</v>
      </c>
      <c r="H34" s="10">
        <f t="shared" si="13"/>
        <v>0.80320082826227812</v>
      </c>
    </row>
    <row r="35" spans="1:8" ht="15.75" thickBot="1" x14ac:dyDescent="0.3">
      <c r="A35" s="28"/>
      <c r="B35" s="6">
        <v>4</v>
      </c>
      <c r="C35" s="11">
        <f t="shared" ref="C35:H35" si="14">C7/($B$9*C9)</f>
        <v>0.375</v>
      </c>
      <c r="D35" s="11">
        <f t="shared" si="14"/>
        <v>0.5092592592592593</v>
      </c>
      <c r="E35" s="11">
        <f t="shared" si="14"/>
        <v>0.58115183246073299</v>
      </c>
      <c r="F35" s="11">
        <f t="shared" si="14"/>
        <v>0.58129649309245479</v>
      </c>
      <c r="G35" s="11">
        <f t="shared" si="14"/>
        <v>0.61827525070641043</v>
      </c>
      <c r="H35" s="12">
        <f t="shared" si="14"/>
        <v>0.53675677244862907</v>
      </c>
    </row>
    <row r="36" spans="1:8" x14ac:dyDescent="0.25">
      <c r="A36" s="26">
        <v>20</v>
      </c>
      <c r="B36" s="5">
        <v>1</v>
      </c>
      <c r="C36" s="7">
        <f t="shared" ref="C36:H36" si="15">C10/($B$10*C10)</f>
        <v>1</v>
      </c>
      <c r="D36" s="7">
        <f t="shared" si="15"/>
        <v>1</v>
      </c>
      <c r="E36" s="7">
        <f t="shared" si="15"/>
        <v>1</v>
      </c>
      <c r="F36" s="7">
        <f t="shared" si="15"/>
        <v>1</v>
      </c>
      <c r="G36" s="7">
        <f t="shared" si="15"/>
        <v>1</v>
      </c>
      <c r="H36" s="8">
        <f t="shared" si="15"/>
        <v>1</v>
      </c>
    </row>
    <row r="37" spans="1:8" x14ac:dyDescent="0.25">
      <c r="A37" s="27"/>
      <c r="B37" s="4">
        <v>2</v>
      </c>
      <c r="C37" s="9">
        <f t="shared" ref="C37:H37" si="16">C10/($B$11*C11)</f>
        <v>0.68181818181818188</v>
      </c>
      <c r="D37" s="9">
        <f t="shared" si="16"/>
        <v>0.70512820512820518</v>
      </c>
      <c r="E37" s="9">
        <f t="shared" si="16"/>
        <v>0.69158878504672894</v>
      </c>
      <c r="F37" s="9">
        <f t="shared" si="16"/>
        <v>0.68396373866833382</v>
      </c>
      <c r="G37" s="9">
        <f t="shared" si="16"/>
        <v>0.71346141551051734</v>
      </c>
      <c r="H37" s="10">
        <f t="shared" si="16"/>
        <v>0.69230337201356662</v>
      </c>
    </row>
    <row r="38" spans="1:8" ht="15.75" thickBot="1" x14ac:dyDescent="0.3">
      <c r="A38" s="28"/>
      <c r="B38" s="6">
        <v>4</v>
      </c>
      <c r="C38" s="11">
        <f t="shared" ref="C38:H38" si="17">C10/($B$12*C12)</f>
        <v>0.34090909090909094</v>
      </c>
      <c r="D38" s="11">
        <f t="shared" si="17"/>
        <v>0.44354838709677419</v>
      </c>
      <c r="E38" s="11">
        <f t="shared" si="17"/>
        <v>0.4826086956521739</v>
      </c>
      <c r="F38" s="11">
        <f t="shared" si="17"/>
        <v>0.49479873360470372</v>
      </c>
      <c r="G38" s="11">
        <f t="shared" si="17"/>
        <v>0.52640454738431064</v>
      </c>
      <c r="H38" s="12">
        <f t="shared" si="17"/>
        <v>0.48897003728810567</v>
      </c>
    </row>
  </sheetData>
  <mergeCells count="21">
    <mergeCell ref="A30:A32"/>
    <mergeCell ref="A33:A35"/>
    <mergeCell ref="A36:A38"/>
    <mergeCell ref="A10:A12"/>
    <mergeCell ref="A14:H14"/>
    <mergeCell ref="A15:A16"/>
    <mergeCell ref="B15:B16"/>
    <mergeCell ref="C15:H15"/>
    <mergeCell ref="A27:H27"/>
    <mergeCell ref="A28:A29"/>
    <mergeCell ref="B28:B29"/>
    <mergeCell ref="C28:H28"/>
    <mergeCell ref="A1:H1"/>
    <mergeCell ref="A23:A25"/>
    <mergeCell ref="A4:A6"/>
    <mergeCell ref="A7:A9"/>
    <mergeCell ref="A17:A19"/>
    <mergeCell ref="A20:A22"/>
    <mergeCell ref="C2:H2"/>
    <mergeCell ref="A2:A3"/>
    <mergeCell ref="B2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Hoang</dc:creator>
  <cp:lastModifiedBy>Bao Hoang</cp:lastModifiedBy>
  <dcterms:created xsi:type="dcterms:W3CDTF">2023-05-04T11:48:54Z</dcterms:created>
  <dcterms:modified xsi:type="dcterms:W3CDTF">2023-05-07T15:28:49Z</dcterms:modified>
</cp:coreProperties>
</file>
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-University-of-Adelaide\s1\PCD\pdc-23-s1-assign3\perfdata\"/>
    </mc:Choice>
  </mc:AlternateContent>
  <xr:revisionPtr revIDLastSave="0" documentId="13_ncr:1_{6165D87B-AE85-46A4-96F8-26322A28DB5E}" xr6:coauthVersionLast="47" xr6:coauthVersionMax="47" xr10:uidLastSave="{00000000-0000-0000-0000-000000000000}"/>
  <bookViews>
    <workbookView xWindow="390" yWindow="390" windowWidth="28800" windowHeight="15225" activeTab="1" xr2:uid="{D8921F32-08D5-4003-A6AA-B4B341F9D208}"/>
  </bookViews>
  <sheets>
    <sheet name="Trials Runtimes" sheetId="1" r:id="rId1"/>
    <sheet name="Comparison Runtimes" sheetId="2" r:id="rId2"/>
    <sheet name="Extracted Runtim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9" i="1" l="1"/>
  <c r="N150" i="1"/>
  <c r="N151" i="1"/>
  <c r="N152" i="1"/>
  <c r="N153" i="1"/>
  <c r="N154" i="1"/>
  <c r="N155" i="1"/>
  <c r="N156" i="1"/>
  <c r="N157" i="1"/>
  <c r="N158" i="1"/>
  <c r="N159" i="1"/>
  <c r="N160" i="1"/>
  <c r="N29" i="1"/>
  <c r="N30" i="1"/>
  <c r="N31" i="1"/>
  <c r="N32" i="1"/>
  <c r="N33" i="1"/>
  <c r="N34" i="1"/>
  <c r="N35" i="1"/>
  <c r="N36" i="1"/>
  <c r="N37" i="1"/>
  <c r="N38" i="1"/>
  <c r="N39" i="1"/>
  <c r="N17" i="1"/>
  <c r="N18" i="1"/>
  <c r="N19" i="1"/>
  <c r="N20" i="1"/>
  <c r="N21" i="1"/>
  <c r="N22" i="1"/>
  <c r="N23" i="1"/>
  <c r="N24" i="1"/>
  <c r="N25" i="1"/>
  <c r="N26" i="1"/>
  <c r="N27" i="1"/>
  <c r="N15" i="1"/>
  <c r="N5" i="1"/>
  <c r="N6" i="1"/>
  <c r="N7" i="1"/>
  <c r="N8" i="1"/>
  <c r="N9" i="1"/>
  <c r="N10" i="1"/>
  <c r="N11" i="1"/>
  <c r="N12" i="1"/>
  <c r="N13" i="1"/>
  <c r="N14" i="1"/>
  <c r="N138" i="1"/>
  <c r="N139" i="1"/>
  <c r="N140" i="1"/>
  <c r="N141" i="1"/>
  <c r="N142" i="1"/>
  <c r="N143" i="1"/>
  <c r="N144" i="1"/>
  <c r="N145" i="1"/>
  <c r="N146" i="1"/>
  <c r="N147" i="1"/>
  <c r="N148" i="1"/>
  <c r="N126" i="1"/>
  <c r="N127" i="1"/>
  <c r="N128" i="1"/>
  <c r="N129" i="1"/>
  <c r="N130" i="1"/>
  <c r="N131" i="1"/>
  <c r="N132" i="1"/>
  <c r="N133" i="1"/>
  <c r="N134" i="1"/>
  <c r="N135" i="1"/>
  <c r="N136" i="1"/>
  <c r="N110" i="1"/>
  <c r="N111" i="1"/>
  <c r="N112" i="1"/>
  <c r="N113" i="1"/>
  <c r="N114" i="1"/>
  <c r="N115" i="1"/>
  <c r="N116" i="1"/>
  <c r="N117" i="1"/>
  <c r="N118" i="1"/>
  <c r="N119" i="1"/>
  <c r="N120" i="1"/>
  <c r="N98" i="1"/>
  <c r="N99" i="1"/>
  <c r="N100" i="1"/>
  <c r="N101" i="1"/>
  <c r="N102" i="1"/>
  <c r="N103" i="1"/>
  <c r="N104" i="1"/>
  <c r="N105" i="1"/>
  <c r="N106" i="1"/>
  <c r="N107" i="1"/>
  <c r="N108" i="1"/>
  <c r="N69" i="1"/>
  <c r="N70" i="1"/>
  <c r="N71" i="1"/>
  <c r="N72" i="1"/>
  <c r="N73" i="1"/>
  <c r="N74" i="1"/>
  <c r="N75" i="1"/>
  <c r="N76" i="1"/>
  <c r="N77" i="1"/>
  <c r="N78" i="1"/>
  <c r="N79" i="1"/>
  <c r="N57" i="1"/>
  <c r="N58" i="1"/>
  <c r="N59" i="1"/>
  <c r="N60" i="1"/>
  <c r="N61" i="1"/>
  <c r="N62" i="1"/>
  <c r="N63" i="1"/>
  <c r="N64" i="1"/>
  <c r="N65" i="1"/>
  <c r="N66" i="1"/>
  <c r="N67" i="1"/>
  <c r="N45" i="1"/>
  <c r="N46" i="1"/>
  <c r="N47" i="1"/>
  <c r="N48" i="1"/>
  <c r="N49" i="1"/>
  <c r="N50" i="1"/>
  <c r="N51" i="1"/>
  <c r="N52" i="1"/>
  <c r="N53" i="1"/>
  <c r="N54" i="1"/>
  <c r="N55" i="1"/>
  <c r="N86" i="1"/>
  <c r="N87" i="1"/>
  <c r="N88" i="1"/>
  <c r="N89" i="1"/>
  <c r="N90" i="1"/>
  <c r="N91" i="1"/>
  <c r="N92" i="1"/>
  <c r="N93" i="1"/>
  <c r="N94" i="1"/>
  <c r="N95" i="1"/>
  <c r="N96" i="1"/>
  <c r="N16" i="1"/>
  <c r="N137" i="1"/>
  <c r="N125" i="1"/>
  <c r="N97" i="1"/>
  <c r="N109" i="1"/>
  <c r="N85" i="1"/>
  <c r="N56" i="1"/>
  <c r="N68" i="1"/>
  <c r="N44" i="1"/>
  <c r="N28" i="1"/>
  <c r="N4" i="1"/>
</calcChain>
</file>

<file path=xl/sharedStrings.xml><?xml version="1.0" encoding="utf-8"?>
<sst xmlns="http://schemas.openxmlformats.org/spreadsheetml/2006/main" count="44" uniqueCount="18">
  <si>
    <t>Minimum runtime</t>
  </si>
  <si>
    <t>Number of threads</t>
  </si>
  <si>
    <t>Number of particles</t>
  </si>
  <si>
    <t>Number of timesteps</t>
  </si>
  <si>
    <t>Runtimes for 10 Trials of Serial and Parallel nbody_basic.c</t>
  </si>
  <si>
    <t>Runtimes for 10 Trials of Serial and Parallel nbody_red_default.c</t>
  </si>
  <si>
    <t>Runtimes for 10 Trials of Serial and Parallel nbody_red_forces_cyclic.c</t>
  </si>
  <si>
    <t>Runtimes for 10 Trials of Serial and Parallel nbody_red_all_cyclic.c</t>
  </si>
  <si>
    <t>Number of processes</t>
  </si>
  <si>
    <t>Basic</t>
  </si>
  <si>
    <t>Reduced Default Sched</t>
  </si>
  <si>
    <t>Reduced Forces Cyclic</t>
  </si>
  <si>
    <t>Reduced All Cyclic</t>
  </si>
  <si>
    <t>Run-Times of the n-Body Solvers Parallelized with OpenMP (times are in seconds)</t>
  </si>
  <si>
    <t>Threads</t>
  </si>
  <si>
    <t>Run-Times of the n-Body Solvers with 1000 particles and 1000 timesteps (times are in seconds)</t>
  </si>
  <si>
    <t>Run-Times of the n-Body Solvers with 1000 particles and 10000 timesteps (times are in seconds)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</si>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</sst>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8" xfId="0" applyFill="1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0" fillId="2" borderId="16" xfId="0" applyFill="1" applyBorder="1" applyAlignment="1">
      <alignment horizontal="center" vertical="center" wrapText="1"/>
    </xf>
    <xf numFmtId="0" fontId="0" fillId="2" borderId="16" xfId="0" applyFill="1" applyBorder="1"/>
    <xf numFmtId="0" fontId="0" fillId="2" borderId="17" xfId="0" applyFill="1" applyBorder="1" applyAlignment="1">
      <alignment horizontal="center" vertical="center" wrapText="1"/>
    </xf>
    <xf numFmtId="11" fontId="0" fillId="0" borderId="5" xfId="0" applyNumberFormat="1" applyBorder="1"/>
    <xf numFmtId="11" fontId="0" fillId="0" borderId="2" xfId="0" applyNumberFormat="1" applyBorder="1"/>
    <xf numFmtId="11" fontId="0" fillId="0" borderId="3" xfId="0" applyNumberFormat="1" applyBorder="1"/>
    <xf numFmtId="11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22" xfId="0" applyNumberFormat="1" applyBorder="1"/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1" fontId="0" fillId="0" borderId="6" xfId="0" applyNumberFormat="1" applyBorder="1"/>
    <xf numFmtId="11" fontId="0" fillId="0" borderId="9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1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/>
              <a:t>Run-Times of the n-Body Solvers with 1000 particles and 1000 timesteps </a:t>
            </a:r>
          </a:p>
        </c:rich>
      </c:tx>
      <c:layout>
        <c:manualLayout>
          <c:xMode val="edge"/>
          <c:yMode val="edge"/>
          <c:x val="0.110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thread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'Extracted Runtimes'!$B$2:$E$2</c:f>
              <c:strCache>
                <c:ptCount val="4"/>
                <c:pt idx="0">
                  <c:v>Basic</c:v>
                </c:pt>
                <c:pt idx="1">
                  <c:v>Reduced Default Sched</c:v>
                </c:pt>
                <c:pt idx="2">
                  <c:v>Reduced Forces Cyclic</c:v>
                </c:pt>
                <c:pt idx="3">
                  <c:v>Reduced All Cyclic</c:v>
                </c:pt>
              </c:strCache>
            </c:strRef>
          </c:cat>
          <c:val>
            <c:numRef>
              <c:f>'Extracted Runtimes'!$B$3:$E$3</c:f>
              <c:numCache>
                <c:formatCode>0.00</c:formatCode>
                <c:ptCount val="4"/>
                <c:pt idx="0">
                  <c:v>14.68797</c:v>
                </c:pt>
                <c:pt idx="1">
                  <c:v>9.0299999999999994</c:v>
                </c:pt>
                <c:pt idx="2">
                  <c:v>9.0675399999999993</c:v>
                </c:pt>
                <c:pt idx="3">
                  <c:v>8.9924389999999992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3-46E3-932D-18D45458650E}"/>
            </c:ext>
          </c:extLst>
        </c:ser>
        <c:ser>
          <c:idx val="1"/>
          <c:order val="1"/>
          <c:tx>
            <c:v>2 threads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'Extracted Runtimes'!$B$2:$E$2</c:f>
              <c:strCache>
                <c:ptCount val="4"/>
                <c:pt idx="0">
                  <c:v>Basic</c:v>
                </c:pt>
                <c:pt idx="1">
                  <c:v>Reduced Default Sched</c:v>
                </c:pt>
                <c:pt idx="2">
                  <c:v>Reduced Forces Cyclic</c:v>
                </c:pt>
                <c:pt idx="3">
                  <c:v>Reduced All Cyclic</c:v>
                </c:pt>
              </c:strCache>
            </c:strRef>
          </c:cat>
          <c:val>
            <c:numRef>
              <c:f>'Extracted Runtimes'!$B$4:$E$4</c:f>
              <c:numCache>
                <c:formatCode>0.00</c:formatCode>
                <c:ptCount val="4"/>
                <c:pt idx="0">
                  <c:v>8.3610500000000005</c:v>
                </c:pt>
                <c:pt idx="1">
                  <c:v>7.14</c:v>
                </c:pt>
                <c:pt idx="2">
                  <c:v>4.8016569999999996</c:v>
                </c:pt>
                <c:pt idx="3">
                  <c:v>4.8281099999999997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3-46E3-932D-18D45458650E}"/>
            </c:ext>
          </c:extLst>
        </c:ser>
        <c:ser>
          <c:idx val="2"/>
          <c:order val="2"/>
          <c:tx>
            <c:v>3 threads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'Extracted Runtimes'!$B$2:$E$2</c:f>
              <c:strCache>
                <c:ptCount val="4"/>
                <c:pt idx="0">
                  <c:v>Basic</c:v>
                </c:pt>
                <c:pt idx="1">
                  <c:v>Reduced Default Sched</c:v>
                </c:pt>
                <c:pt idx="2">
                  <c:v>Reduced Forces Cyclic</c:v>
                </c:pt>
                <c:pt idx="3">
                  <c:v>Reduced All Cyclic</c:v>
                </c:pt>
              </c:strCache>
            </c:strRef>
          </c:cat>
          <c:val>
            <c:numRef>
              <c:f>'Extracted Runtimes'!$B$5:$E$5</c:f>
              <c:numCache>
                <c:formatCode>0.00</c:formatCode>
                <c:ptCount val="4"/>
                <c:pt idx="0">
                  <c:v>5.4342439999999996</c:v>
                </c:pt>
                <c:pt idx="1">
                  <c:v>4.7</c:v>
                </c:pt>
                <c:pt idx="2">
                  <c:v>3.1951700000000001</c:v>
                </c:pt>
                <c:pt idx="3">
                  <c:v>3.2617349999999998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3-46E3-932D-18D454586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5487296"/>
        <c:axId val="1205486816"/>
      </c:barChart>
      <c:catAx>
        <c:axId val="120548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86816"/>
        <c:crosses val="autoZero"/>
        <c:auto val="1"/>
        <c:lblAlgn val="ctr"/>
        <c:lblOffset val="100"/>
        <c:noMultiLvlLbl val="0"/>
      </c:catAx>
      <c:valAx>
        <c:axId val="120548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Run-times</a:t>
                </a:r>
                <a:r>
                  <a:rPr lang="en-AU" baseline="0"/>
                  <a:t> (in seconds)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/>
              <a:t>Run-Times of the n-Body Solvers with 1000 particles and 10000 timesteps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1 thread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'Extracted Runtimes'!$B$8:$E$8</c:f>
              <c:strCache>
                <c:ptCount val="4"/>
                <c:pt idx="0">
                  <c:v>Basic</c:v>
                </c:pt>
                <c:pt idx="1">
                  <c:v>Reduced Default Sched</c:v>
                </c:pt>
                <c:pt idx="2">
                  <c:v>Reduced Forces Cyclic</c:v>
                </c:pt>
                <c:pt idx="3">
                  <c:v>Reduced All Cyclic</c:v>
                </c:pt>
              </c:strCache>
            </c:strRef>
          </c:cat>
          <c:val>
            <c:numRef>
              <c:f>'Extracted Runtimes'!$B$9:$E$9</c:f>
              <c:numCache>
                <c:formatCode>0.00</c:formatCode>
                <c:ptCount val="4"/>
                <c:pt idx="0">
                  <c:v>143.92140000000001</c:v>
                </c:pt>
                <c:pt idx="1">
                  <c:v>90.727620000000002</c:v>
                </c:pt>
                <c:pt idx="2">
                  <c:v>90.49888</c:v>
                </c:pt>
                <c:pt idx="3">
                  <c:v>89.816630000000004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C-4743-A52B-D21A0A3C59DF}"/>
            </c:ext>
          </c:extLst>
        </c:ser>
        <c:ser>
          <c:idx val="1"/>
          <c:order val="1"/>
          <c:tx>
            <c:v>2 threads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'Extracted Runtimes'!$B$8:$E$8</c:f>
              <c:strCache>
                <c:ptCount val="4"/>
                <c:pt idx="0">
                  <c:v>Basic</c:v>
                </c:pt>
                <c:pt idx="1">
                  <c:v>Reduced Default Sched</c:v>
                </c:pt>
                <c:pt idx="2">
                  <c:v>Reduced Forces Cyclic</c:v>
                </c:pt>
                <c:pt idx="3">
                  <c:v>Reduced All Cyclic</c:v>
                </c:pt>
              </c:strCache>
            </c:strRef>
          </c:cat>
          <c:val>
            <c:numRef>
              <c:f>'Extracted Runtimes'!$B$10:$E$10</c:f>
              <c:numCache>
                <c:formatCode>0.00</c:formatCode>
                <c:ptCount val="4"/>
                <c:pt idx="0">
                  <c:v>79.170680000000004</c:v>
                </c:pt>
                <c:pt idx="1">
                  <c:v>72.321969999999993</c:v>
                </c:pt>
                <c:pt idx="2">
                  <c:v>49.875419999999998</c:v>
                </c:pt>
                <c:pt idx="3">
                  <c:v>49.096209999999999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C-4743-A52B-D21A0A3C59DF}"/>
            </c:ext>
          </c:extLst>
        </c:ser>
        <c:ser>
          <c:idx val="2"/>
          <c:order val="2"/>
          <c:tx>
            <c:v>3 threads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'Extracted Runtimes'!$B$8:$E$8</c:f>
              <c:strCache>
                <c:ptCount val="4"/>
                <c:pt idx="0">
                  <c:v>Basic</c:v>
                </c:pt>
                <c:pt idx="1">
                  <c:v>Reduced Default Sched</c:v>
                </c:pt>
                <c:pt idx="2">
                  <c:v>Reduced Forces Cyclic</c:v>
                </c:pt>
                <c:pt idx="3">
                  <c:v>Reduced All Cyclic</c:v>
                </c:pt>
              </c:strCache>
            </c:strRef>
          </c:cat>
          <c:val>
            <c:numRef>
              <c:f>'Extracted Runtimes'!$B$11:$E$11</c:f>
              <c:numCache>
                <c:formatCode>0.00</c:formatCode>
                <c:ptCount val="4"/>
                <c:pt idx="0">
                  <c:v>51.591119999999997</c:v>
                </c:pt>
                <c:pt idx="1">
                  <c:v>47.2729</c:v>
                </c:pt>
                <c:pt idx="2">
                  <c:v>34.197180000000003</c:v>
                </c:pt>
                <c:pt idx="3">
                  <c:v>34.135019999999997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2C-4743-A52B-D21A0A3C5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291584"/>
        <c:axId val="1211293504"/>
      </c:barChart>
      <c:catAx>
        <c:axId val="121129158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93504"/>
        <c:crosses val="autoZero"/>
        <c:auto val="1"/>
        <c:lblAlgn val="ctr"/>
        <c:lblOffset val="100"/>
        <c:noMultiLvlLbl val="0"/>
      </c:catAx>
      <c:valAx>
        <c:axId val="12112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Run-times</a:t>
                </a:r>
                <a:r>
                  <a:rPr lang="en-AU" baseline="0"/>
                  <a:t> (in seconds</a:t>
                </a:r>
              </a:p>
              <a:p>
                <a:pPr>
                  <a:defRPr/>
                </a:pPr>
                <a:r>
                  <a:rPr lang="en-AU" baseline="0"/>
                  <a:t>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2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598714</xdr:colOff>
      <xdr:row>0</xdr:row>
      <xdr:rowOff>19050</xdr:rowOff>
    </xdr:from>
    <xdr:to>
      <xdr:col>13</xdr:col>
      <xdr:colOff>293914</xdr:colOff>
      <xdr:row>8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526A88-8B80-323A-1754-363134906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601435</xdr:colOff>
      <xdr:row>8</xdr:row>
      <xdr:rowOff>122465</xdr:rowOff>
    </xdr:from>
    <xdr:to>
      <xdr:col>13</xdr:col>
      <xdr:colOff>296635</xdr:colOff>
      <xdr:row>22</xdr:row>
      <xdr:rowOff>187779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8F9C2A-B9BE-1FC4-97FB-9A9F57F4C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2413-4D0B-46B0-B555-E40C5BEE2F43}">
  <dimension ref="A1:N160"/>
  <sheetViews>
    <sheetView zoomScale="115" zoomScaleNormal="115" workbookViewId="0">
      <selection activeCell="Q8" sqref="Q8"/>
    </sheetView>
  </sheetViews>
  <sheetFormatPr defaultRowHeight="15" x14ac:dyDescent="0.25"/>
  <cols>
    <col min="1" max="3" width="10.5703125" customWidth="1"/>
    <col min="14" max="14" width="10.5703125" customWidth="1"/>
  </cols>
  <sheetData>
    <row r="1" spans="1:14" x14ac:dyDescent="0.25">
      <c r="A1" s="39" t="s">
        <v>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x14ac:dyDescent="0.25">
      <c r="A2" s="42" t="s">
        <v>1</v>
      </c>
      <c r="B2" s="44" t="s">
        <v>2</v>
      </c>
      <c r="C2" s="44" t="s">
        <v>3</v>
      </c>
      <c r="D2" s="48" t="s">
        <v>17</v>
      </c>
      <c r="E2" s="49"/>
      <c r="F2" s="49"/>
      <c r="G2" s="49"/>
      <c r="H2" s="49"/>
      <c r="I2" s="49"/>
      <c r="J2" s="49"/>
      <c r="K2" s="49"/>
      <c r="L2" s="49"/>
      <c r="M2" s="50"/>
      <c r="N2" s="32" t="s">
        <v>0</v>
      </c>
    </row>
    <row r="3" spans="1:14" ht="15" customHeight="1" thickBot="1" x14ac:dyDescent="0.3">
      <c r="A3" s="43"/>
      <c r="B3" s="45"/>
      <c r="C3" s="45"/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47"/>
    </row>
    <row r="4" spans="1:14" x14ac:dyDescent="0.25">
      <c r="A4" s="34">
        <v>1</v>
      </c>
      <c r="B4" s="36">
        <v>10</v>
      </c>
      <c r="C4" s="2">
        <v>10</v>
      </c>
      <c r="D4" s="9">
        <v>2.8353000000000001E-5</v>
      </c>
      <c r="E4" s="9">
        <v>2.0508000000000001E-5</v>
      </c>
      <c r="F4" s="9">
        <v>2.1681000000000001E-5</v>
      </c>
      <c r="G4" s="9">
        <v>2.0477999999999999E-5</v>
      </c>
      <c r="H4" s="9">
        <v>2.0418E-5</v>
      </c>
      <c r="I4" s="9">
        <v>2.0108000000000001E-5</v>
      </c>
      <c r="J4" s="9">
        <v>2.139E-5</v>
      </c>
      <c r="K4" s="9">
        <v>2.0608E-5</v>
      </c>
      <c r="L4" s="9">
        <v>2.0639E-5</v>
      </c>
      <c r="M4" s="9">
        <v>2.1851000000000001E-5</v>
      </c>
      <c r="N4" s="10">
        <f>MIN(D4:M4)</f>
        <v>2.0108000000000001E-5</v>
      </c>
    </row>
    <row r="5" spans="1:14" x14ac:dyDescent="0.25">
      <c r="A5" s="35"/>
      <c r="B5" s="37"/>
      <c r="C5" s="3">
        <v>100</v>
      </c>
      <c r="D5" s="8">
        <v>1.69758E-4</v>
      </c>
      <c r="E5" s="8">
        <v>1.6567900000000001E-4</v>
      </c>
      <c r="F5" s="8">
        <v>1.6547999999999999E-4</v>
      </c>
      <c r="G5" s="8">
        <v>1.64838E-4</v>
      </c>
      <c r="H5" s="8">
        <v>1.6579999999999999E-4</v>
      </c>
      <c r="I5" s="8">
        <v>1.6529899999999999E-4</v>
      </c>
      <c r="J5" s="8">
        <v>1.64127E-4</v>
      </c>
      <c r="K5" s="8">
        <v>1.6600100000000001E-4</v>
      </c>
      <c r="L5" s="8">
        <v>1.6493899999999999E-4</v>
      </c>
      <c r="M5" s="8">
        <v>1.64809E-4</v>
      </c>
      <c r="N5" s="26">
        <f t="shared" ref="N5:N14" si="0">MIN(D5:M5)</f>
        <v>1.64127E-4</v>
      </c>
    </row>
    <row r="6" spans="1:14" x14ac:dyDescent="0.25">
      <c r="A6" s="35"/>
      <c r="B6" s="37"/>
      <c r="C6" s="3">
        <v>1000</v>
      </c>
      <c r="D6" s="8">
        <v>1.6176859999999999E-3</v>
      </c>
      <c r="E6" s="8">
        <v>1.6147500000000001E-3</v>
      </c>
      <c r="F6" s="8">
        <v>1.815005E-3</v>
      </c>
      <c r="G6" s="8">
        <v>1.6667170000000001E-3</v>
      </c>
      <c r="H6" s="8">
        <v>1.615813E-3</v>
      </c>
      <c r="I6" s="8">
        <v>1.628205E-3</v>
      </c>
      <c r="J6" s="8">
        <v>1.61981E-3</v>
      </c>
      <c r="K6" s="8">
        <v>1.6106829999999999E-3</v>
      </c>
      <c r="L6" s="8">
        <v>1.6512289999999999E-3</v>
      </c>
      <c r="M6" s="8">
        <v>1.644806E-3</v>
      </c>
      <c r="N6" s="26">
        <f t="shared" si="0"/>
        <v>1.6106829999999999E-3</v>
      </c>
    </row>
    <row r="7" spans="1:14" ht="15.75" thickBot="1" x14ac:dyDescent="0.3">
      <c r="A7" s="35"/>
      <c r="B7" s="38"/>
      <c r="C7" s="4">
        <v>10000</v>
      </c>
      <c r="D7" s="18">
        <v>1.656608E-2</v>
      </c>
      <c r="E7" s="18">
        <v>1.6344049999999999E-2</v>
      </c>
      <c r="F7" s="18">
        <v>1.6247040000000001E-2</v>
      </c>
      <c r="G7" s="18">
        <v>1.694389E-2</v>
      </c>
      <c r="H7" s="18">
        <v>1.6505499999999999E-2</v>
      </c>
      <c r="I7" s="18">
        <v>1.6970989999999998E-2</v>
      </c>
      <c r="J7" s="18">
        <v>1.6256670000000001E-2</v>
      </c>
      <c r="K7" s="18">
        <v>1.6507919999999999E-2</v>
      </c>
      <c r="L7" s="18">
        <v>1.6876209999999999E-2</v>
      </c>
      <c r="M7" s="18">
        <v>1.6283309999999999E-2</v>
      </c>
      <c r="N7" s="27">
        <f t="shared" si="0"/>
        <v>1.6247040000000001E-2</v>
      </c>
    </row>
    <row r="8" spans="1:14" x14ac:dyDescent="0.25">
      <c r="A8" s="35"/>
      <c r="B8" s="36">
        <v>100</v>
      </c>
      <c r="C8" s="2">
        <v>10</v>
      </c>
      <c r="D8" s="9">
        <v>1.499355E-3</v>
      </c>
      <c r="E8" s="9">
        <v>1.4069519999999999E-3</v>
      </c>
      <c r="F8" s="9">
        <v>1.4208580000000001E-3</v>
      </c>
      <c r="G8" s="9">
        <v>1.436978E-3</v>
      </c>
      <c r="H8" s="9">
        <v>1.4565349999999999E-3</v>
      </c>
      <c r="I8" s="9">
        <v>1.5154750000000001E-3</v>
      </c>
      <c r="J8" s="9">
        <v>1.4132140000000001E-3</v>
      </c>
      <c r="K8" s="9">
        <v>1.4861099999999999E-3</v>
      </c>
      <c r="L8" s="9">
        <v>1.407132E-3</v>
      </c>
      <c r="M8" s="9">
        <v>1.4198559999999999E-3</v>
      </c>
      <c r="N8" s="10">
        <f t="shared" si="0"/>
        <v>1.4069519999999999E-3</v>
      </c>
    </row>
    <row r="9" spans="1:14" x14ac:dyDescent="0.25">
      <c r="A9" s="35"/>
      <c r="B9" s="37"/>
      <c r="C9" s="3">
        <v>100</v>
      </c>
      <c r="D9" s="8">
        <v>1.4193010000000001E-2</v>
      </c>
      <c r="E9" s="8">
        <v>1.421383E-2</v>
      </c>
      <c r="F9" s="8">
        <v>1.431899E-2</v>
      </c>
      <c r="G9" s="8">
        <v>1.451556E-2</v>
      </c>
      <c r="H9" s="8">
        <v>1.4245300000000001E-2</v>
      </c>
      <c r="I9" s="8">
        <v>1.415462E-2</v>
      </c>
      <c r="J9" s="8">
        <v>1.4259569999999999E-2</v>
      </c>
      <c r="K9" s="8">
        <v>1.8842939999999999E-2</v>
      </c>
      <c r="L9" s="8">
        <v>1.4372289999999999E-2</v>
      </c>
      <c r="M9" s="8">
        <v>1.461284E-2</v>
      </c>
      <c r="N9" s="26">
        <f t="shared" si="0"/>
        <v>1.415462E-2</v>
      </c>
    </row>
    <row r="10" spans="1:14" x14ac:dyDescent="0.25">
      <c r="A10" s="35"/>
      <c r="B10" s="37"/>
      <c r="C10" s="3">
        <v>1000</v>
      </c>
      <c r="D10" s="8">
        <v>0.1439001</v>
      </c>
      <c r="E10" s="8">
        <v>0.1604362</v>
      </c>
      <c r="F10" s="8">
        <v>0.16809009999999999</v>
      </c>
      <c r="G10" s="8">
        <v>0.2200839</v>
      </c>
      <c r="H10" s="8">
        <v>0.16748669999999999</v>
      </c>
      <c r="I10" s="8">
        <v>0.1583165</v>
      </c>
      <c r="J10" s="8">
        <v>0.14716589999999999</v>
      </c>
      <c r="K10" s="8">
        <v>0.15538840000000001</v>
      </c>
      <c r="L10" s="8">
        <v>0.15799240000000001</v>
      </c>
      <c r="M10" s="8">
        <v>0.15946550000000001</v>
      </c>
      <c r="N10" s="26">
        <f t="shared" si="0"/>
        <v>0.1439001</v>
      </c>
    </row>
    <row r="11" spans="1:14" ht="15.75" thickBot="1" x14ac:dyDescent="0.3">
      <c r="A11" s="35"/>
      <c r="B11" s="38"/>
      <c r="C11" s="4">
        <v>10000</v>
      </c>
      <c r="D11" s="18">
        <v>1.473257</v>
      </c>
      <c r="E11" s="18">
        <v>1.4779949999999999</v>
      </c>
      <c r="F11" s="18">
        <v>1.46275</v>
      </c>
      <c r="G11" s="18">
        <v>1.4981</v>
      </c>
      <c r="H11" s="18">
        <v>1.469211</v>
      </c>
      <c r="I11" s="18">
        <v>1.4558450000000001</v>
      </c>
      <c r="J11" s="18">
        <v>1.488308</v>
      </c>
      <c r="K11" s="18">
        <v>1.5131810000000001</v>
      </c>
      <c r="L11" s="18">
        <v>1.495884</v>
      </c>
      <c r="M11" s="18">
        <v>1.6332599999999999</v>
      </c>
      <c r="N11" s="27">
        <f t="shared" si="0"/>
        <v>1.4558450000000001</v>
      </c>
    </row>
    <row r="12" spans="1:14" x14ac:dyDescent="0.25">
      <c r="A12" s="35"/>
      <c r="B12" s="36">
        <v>1000</v>
      </c>
      <c r="C12" s="2">
        <v>10</v>
      </c>
      <c r="D12" s="9">
        <v>0.14612140000000001</v>
      </c>
      <c r="E12" s="9">
        <v>0.14734059999999999</v>
      </c>
      <c r="F12" s="9">
        <v>0.14364769999999999</v>
      </c>
      <c r="G12" s="9">
        <v>0.1638674</v>
      </c>
      <c r="H12" s="9">
        <v>0.14557690000000001</v>
      </c>
      <c r="I12" s="9">
        <v>0.1439599</v>
      </c>
      <c r="J12" s="9">
        <v>0.1451105</v>
      </c>
      <c r="K12" s="9">
        <v>0.1403325</v>
      </c>
      <c r="L12" s="9">
        <v>0.1421946</v>
      </c>
      <c r="M12" s="9">
        <v>0.14864939999999999</v>
      </c>
      <c r="N12" s="10">
        <f t="shared" si="0"/>
        <v>0.1403325</v>
      </c>
    </row>
    <row r="13" spans="1:14" x14ac:dyDescent="0.25">
      <c r="A13" s="35"/>
      <c r="B13" s="37"/>
      <c r="C13" s="3">
        <v>100</v>
      </c>
      <c r="D13" s="8">
        <v>1.5046550000000001</v>
      </c>
      <c r="E13" s="8">
        <v>1.5529759999999999</v>
      </c>
      <c r="F13" s="8">
        <v>1.4638610000000001</v>
      </c>
      <c r="G13" s="8">
        <v>1.458501</v>
      </c>
      <c r="H13" s="8">
        <v>1.590373</v>
      </c>
      <c r="I13" s="8">
        <v>1.46679</v>
      </c>
      <c r="J13" s="8">
        <v>1.5380259999999999</v>
      </c>
      <c r="K13" s="8">
        <v>1.4352910000000001</v>
      </c>
      <c r="L13" s="8">
        <v>1.557661</v>
      </c>
      <c r="M13" s="8">
        <v>1.4260930000000001</v>
      </c>
      <c r="N13" s="26">
        <f t="shared" si="0"/>
        <v>1.4260930000000001</v>
      </c>
    </row>
    <row r="14" spans="1:14" x14ac:dyDescent="0.25">
      <c r="A14" s="35"/>
      <c r="B14" s="37"/>
      <c r="C14" s="3">
        <v>1000</v>
      </c>
      <c r="D14" s="8">
        <v>15.468310000000001</v>
      </c>
      <c r="E14" s="8">
        <v>14.73718</v>
      </c>
      <c r="F14" s="8">
        <v>14.873900000000001</v>
      </c>
      <c r="G14" s="8">
        <v>14.804639999999999</v>
      </c>
      <c r="H14" s="8">
        <v>14.848739999999999</v>
      </c>
      <c r="I14" s="8">
        <v>14.95031</v>
      </c>
      <c r="J14" s="8">
        <v>14.68797</v>
      </c>
      <c r="K14" s="8">
        <v>14.6991</v>
      </c>
      <c r="L14" s="8">
        <v>14.956619999999999</v>
      </c>
      <c r="M14" s="8">
        <v>14.96937</v>
      </c>
      <c r="N14" s="26">
        <f t="shared" si="0"/>
        <v>14.68797</v>
      </c>
    </row>
    <row r="15" spans="1:14" ht="15.75" thickBot="1" x14ac:dyDescent="0.3">
      <c r="A15" s="35"/>
      <c r="B15" s="38"/>
      <c r="C15" s="4">
        <v>10000</v>
      </c>
      <c r="D15" s="18">
        <v>147.07259999999999</v>
      </c>
      <c r="E15" s="18">
        <v>144.2012</v>
      </c>
      <c r="F15" s="18">
        <v>145.05000000000001</v>
      </c>
      <c r="G15" s="18">
        <v>144.25219999999999</v>
      </c>
      <c r="H15" s="18">
        <v>143.92140000000001</v>
      </c>
      <c r="I15" s="18">
        <v>144.44470000000001</v>
      </c>
      <c r="J15" s="18">
        <v>143.98339999999999</v>
      </c>
      <c r="K15" s="18">
        <v>144.74719999999999</v>
      </c>
      <c r="L15" s="18">
        <v>144.1876</v>
      </c>
      <c r="M15" s="18">
        <v>144.63630000000001</v>
      </c>
      <c r="N15" s="27">
        <f>MIN(D15:M15)</f>
        <v>143.92140000000001</v>
      </c>
    </row>
    <row r="16" spans="1:14" x14ac:dyDescent="0.25">
      <c r="A16" s="34">
        <v>2</v>
      </c>
      <c r="B16" s="36">
        <v>10</v>
      </c>
      <c r="C16" s="2">
        <v>10</v>
      </c>
      <c r="D16" s="9">
        <v>1.7783299999999999E-4</v>
      </c>
      <c r="E16" s="9">
        <v>1.07982E-4</v>
      </c>
      <c r="F16" s="9">
        <v>1.1746E-4</v>
      </c>
      <c r="G16" s="9">
        <v>1.11248E-4</v>
      </c>
      <c r="H16" s="9">
        <v>2.1592399999999999E-4</v>
      </c>
      <c r="I16" s="9">
        <v>1.47706E-4</v>
      </c>
      <c r="J16" s="9">
        <v>9.9465999999999999E-5</v>
      </c>
      <c r="K16" s="9">
        <v>1.32328E-4</v>
      </c>
      <c r="L16" s="9">
        <v>7.9288000000000004E-5</v>
      </c>
      <c r="M16" s="9">
        <v>8.8094000000000001E-5</v>
      </c>
      <c r="N16" s="10">
        <f t="shared" ref="N16:N39" si="1">MIN(D16:M16)</f>
        <v>7.9288000000000004E-5</v>
      </c>
    </row>
    <row r="17" spans="1:14" x14ac:dyDescent="0.25">
      <c r="A17" s="35"/>
      <c r="B17" s="37"/>
      <c r="C17" s="3">
        <v>100</v>
      </c>
      <c r="D17" s="8">
        <v>1.7559800000000001E-4</v>
      </c>
      <c r="E17" s="8">
        <v>1.8263099999999999E-4</v>
      </c>
      <c r="F17" s="8">
        <v>3.9157299999999999E-4</v>
      </c>
      <c r="G17" s="8">
        <v>2.6708999999999999E-4</v>
      </c>
      <c r="H17" s="8">
        <v>2.1044400000000001E-4</v>
      </c>
      <c r="I17" s="8">
        <v>2.2675399999999999E-4</v>
      </c>
      <c r="J17" s="8">
        <v>1.9946300000000001E-4</v>
      </c>
      <c r="K17" s="8">
        <v>2.54596E-4</v>
      </c>
      <c r="L17" s="8">
        <v>1.7905500000000001E-4</v>
      </c>
      <c r="M17" s="8">
        <v>1.7644000000000001E-4</v>
      </c>
      <c r="N17" s="26">
        <f t="shared" si="1"/>
        <v>1.7559800000000001E-4</v>
      </c>
    </row>
    <row r="18" spans="1:14" x14ac:dyDescent="0.25">
      <c r="A18" s="35"/>
      <c r="B18" s="37"/>
      <c r="C18" s="3">
        <v>1000</v>
      </c>
      <c r="D18" s="8">
        <v>1.1725329999999999E-3</v>
      </c>
      <c r="E18" s="8">
        <v>1.1594890000000001E-3</v>
      </c>
      <c r="F18" s="8">
        <v>1.2534849999999999E-3</v>
      </c>
      <c r="G18" s="8">
        <v>2.0417500000000002E-3</v>
      </c>
      <c r="H18" s="8">
        <v>1.199334E-3</v>
      </c>
      <c r="I18" s="8">
        <v>1.8377980000000001E-3</v>
      </c>
      <c r="J18" s="8">
        <v>2.1050880000000002E-3</v>
      </c>
      <c r="K18" s="8">
        <v>1.672298E-3</v>
      </c>
      <c r="L18" s="8">
        <v>1.177673E-3</v>
      </c>
      <c r="M18" s="8">
        <v>1.6780689999999999E-3</v>
      </c>
      <c r="N18" s="26">
        <f t="shared" si="1"/>
        <v>1.1594890000000001E-3</v>
      </c>
    </row>
    <row r="19" spans="1:14" ht="15.75" thickBot="1" x14ac:dyDescent="0.3">
      <c r="A19" s="35"/>
      <c r="B19" s="38"/>
      <c r="C19" s="4">
        <v>10000</v>
      </c>
      <c r="D19" s="18">
        <v>1.701279E-2</v>
      </c>
      <c r="E19" s="18">
        <v>1.6939659999999999E-2</v>
      </c>
      <c r="F19" s="18">
        <v>1.628249E-2</v>
      </c>
      <c r="G19" s="18">
        <v>1.581977E-2</v>
      </c>
      <c r="H19" s="18">
        <v>1.5299170000000001E-2</v>
      </c>
      <c r="I19" s="18">
        <v>1.2022059999999999E-2</v>
      </c>
      <c r="J19" s="18">
        <v>1.7737860000000001E-2</v>
      </c>
      <c r="K19" s="18">
        <v>1.661201E-2</v>
      </c>
      <c r="L19" s="18">
        <v>1.626609E-2</v>
      </c>
      <c r="M19" s="18">
        <v>1.4666220000000001E-2</v>
      </c>
      <c r="N19" s="27">
        <f t="shared" si="1"/>
        <v>1.2022059999999999E-2</v>
      </c>
    </row>
    <row r="20" spans="1:14" x14ac:dyDescent="0.25">
      <c r="A20" s="35"/>
      <c r="B20" s="36">
        <v>100</v>
      </c>
      <c r="C20" s="2">
        <v>10</v>
      </c>
      <c r="D20" s="9">
        <v>8.6918599999999998E-4</v>
      </c>
      <c r="E20" s="9">
        <v>1.15437E-3</v>
      </c>
      <c r="F20" s="9">
        <v>8.0502600000000003E-4</v>
      </c>
      <c r="G20" s="9">
        <v>7.7471899999999999E-4</v>
      </c>
      <c r="H20" s="9">
        <v>1.749844E-3</v>
      </c>
      <c r="I20" s="9">
        <v>8.1309100000000005E-4</v>
      </c>
      <c r="J20" s="9">
        <v>7.7455899999999997E-4</v>
      </c>
      <c r="K20" s="9">
        <v>8.2421199999999995E-4</v>
      </c>
      <c r="L20" s="9">
        <v>8.1389299999999999E-4</v>
      </c>
      <c r="M20" s="9">
        <v>7.8456800000000003E-4</v>
      </c>
      <c r="N20" s="10">
        <f t="shared" si="1"/>
        <v>7.7455899999999997E-4</v>
      </c>
    </row>
    <row r="21" spans="1:14" x14ac:dyDescent="0.25">
      <c r="A21" s="35"/>
      <c r="B21" s="37"/>
      <c r="C21" s="3">
        <v>100</v>
      </c>
      <c r="D21" s="8">
        <v>7.8997379999999999E-3</v>
      </c>
      <c r="E21" s="8">
        <v>7.3566609999999996E-3</v>
      </c>
      <c r="F21" s="8">
        <v>8.1555659999999995E-3</v>
      </c>
      <c r="G21" s="8">
        <v>7.9137240000000005E-3</v>
      </c>
      <c r="H21" s="8">
        <v>8.1802720000000006E-3</v>
      </c>
      <c r="I21" s="8">
        <v>7.2206370000000002E-3</v>
      </c>
      <c r="J21" s="8">
        <v>7.2073720000000001E-3</v>
      </c>
      <c r="K21" s="8">
        <v>7.4213120000000002E-3</v>
      </c>
      <c r="L21" s="8">
        <v>7.4568689999999997E-3</v>
      </c>
      <c r="M21" s="8">
        <v>7.3926579999999999E-3</v>
      </c>
      <c r="N21" s="26">
        <f t="shared" si="1"/>
        <v>7.2073720000000001E-3</v>
      </c>
    </row>
    <row r="22" spans="1:14" x14ac:dyDescent="0.25">
      <c r="A22" s="35"/>
      <c r="B22" s="37"/>
      <c r="C22" s="3">
        <v>1000</v>
      </c>
      <c r="D22" s="8">
        <v>7.3108950000000006E-2</v>
      </c>
      <c r="E22" s="8">
        <v>8.2585469999999994E-2</v>
      </c>
      <c r="F22" s="8">
        <v>8.9289960000000002E-2</v>
      </c>
      <c r="G22" s="8">
        <v>9.2790730000000002E-2</v>
      </c>
      <c r="H22" s="8">
        <v>8.6504090000000006E-2</v>
      </c>
      <c r="I22" s="8">
        <v>8.4312349999999994E-2</v>
      </c>
      <c r="J22" s="8">
        <v>8.2561229999999999E-2</v>
      </c>
      <c r="K22" s="8">
        <v>9.0418579999999998E-2</v>
      </c>
      <c r="L22" s="8">
        <v>8.6054690000000003E-2</v>
      </c>
      <c r="M22" s="8">
        <v>8.2225510000000002E-2</v>
      </c>
      <c r="N22" s="26">
        <f t="shared" si="1"/>
        <v>7.3108950000000006E-2</v>
      </c>
    </row>
    <row r="23" spans="1:14" ht="15.75" thickBot="1" x14ac:dyDescent="0.3">
      <c r="A23" s="35"/>
      <c r="B23" s="38"/>
      <c r="C23" s="4">
        <v>10000</v>
      </c>
      <c r="D23" s="18">
        <v>0.90967070000000005</v>
      </c>
      <c r="E23" s="18">
        <v>0.88863479999999995</v>
      </c>
      <c r="F23" s="18">
        <v>0.93080859999999999</v>
      </c>
      <c r="G23" s="18">
        <v>0.82461770000000001</v>
      </c>
      <c r="H23" s="18">
        <v>0.81491979999999997</v>
      </c>
      <c r="I23" s="18">
        <v>0.82564139999999997</v>
      </c>
      <c r="J23" s="18">
        <v>0.79496699999999998</v>
      </c>
      <c r="K23" s="18">
        <v>0.84295180000000003</v>
      </c>
      <c r="L23" s="18">
        <v>0.79569040000000002</v>
      </c>
      <c r="M23" s="18">
        <v>0.79810440000000005</v>
      </c>
      <c r="N23" s="27">
        <f t="shared" si="1"/>
        <v>0.79496699999999998</v>
      </c>
    </row>
    <row r="24" spans="1:14" x14ac:dyDescent="0.25">
      <c r="A24" s="35"/>
      <c r="B24" s="36">
        <v>1000</v>
      </c>
      <c r="C24" s="2">
        <v>10</v>
      </c>
      <c r="D24" s="9">
        <v>8.2851759999999997E-2</v>
      </c>
      <c r="E24" s="9">
        <v>0.1087919</v>
      </c>
      <c r="F24" s="9">
        <v>8.9862479999999995E-2</v>
      </c>
      <c r="G24" s="9">
        <v>9.5808160000000003E-2</v>
      </c>
      <c r="H24" s="9">
        <v>8.1191540000000006E-2</v>
      </c>
      <c r="I24" s="9">
        <v>7.9743220000000004E-2</v>
      </c>
      <c r="J24" s="9">
        <v>7.2108110000000003E-2</v>
      </c>
      <c r="K24" s="9">
        <v>7.6143219999999998E-2</v>
      </c>
      <c r="L24" s="9">
        <v>8.9855749999999998E-2</v>
      </c>
      <c r="M24" s="9">
        <v>7.4991730000000006E-2</v>
      </c>
      <c r="N24" s="10">
        <f t="shared" si="1"/>
        <v>7.2108110000000003E-2</v>
      </c>
    </row>
    <row r="25" spans="1:14" x14ac:dyDescent="0.25">
      <c r="A25" s="35"/>
      <c r="B25" s="37"/>
      <c r="C25" s="3">
        <v>100</v>
      </c>
      <c r="D25" s="8">
        <v>0.76524219999999998</v>
      </c>
      <c r="E25" s="8">
        <v>0.81318900000000005</v>
      </c>
      <c r="F25" s="8">
        <v>0.96529889999999996</v>
      </c>
      <c r="G25" s="8">
        <v>0.83412949999999997</v>
      </c>
      <c r="H25" s="8">
        <v>0.83668290000000001</v>
      </c>
      <c r="I25" s="8">
        <v>0.79594920000000002</v>
      </c>
      <c r="J25" s="8">
        <v>0.82193959999999999</v>
      </c>
      <c r="K25" s="8">
        <v>0.81044170000000004</v>
      </c>
      <c r="L25" s="8">
        <v>0.90102400000000005</v>
      </c>
      <c r="M25" s="8">
        <v>0.81352349999999996</v>
      </c>
      <c r="N25" s="26">
        <f t="shared" si="1"/>
        <v>0.76524219999999998</v>
      </c>
    </row>
    <row r="26" spans="1:14" x14ac:dyDescent="0.25">
      <c r="A26" s="35"/>
      <c r="B26" s="37"/>
      <c r="C26" s="3">
        <v>1000</v>
      </c>
      <c r="D26" s="8">
        <v>8.694502</v>
      </c>
      <c r="E26" s="8">
        <v>8.7552920000000007</v>
      </c>
      <c r="F26" s="8">
        <v>8.7763709999999993</v>
      </c>
      <c r="G26" s="8">
        <v>8.5835080000000001</v>
      </c>
      <c r="H26" s="8">
        <v>8.8342849999999995</v>
      </c>
      <c r="I26" s="8">
        <v>8.3610500000000005</v>
      </c>
      <c r="J26" s="8">
        <v>8.459721</v>
      </c>
      <c r="K26" s="8">
        <v>9.2774540000000005</v>
      </c>
      <c r="L26" s="8">
        <v>8.3772420000000007</v>
      </c>
      <c r="M26" s="8">
        <v>8.5309919999999995</v>
      </c>
      <c r="N26" s="26">
        <f t="shared" si="1"/>
        <v>8.3610500000000005</v>
      </c>
    </row>
    <row r="27" spans="1:14" ht="15.75" thickBot="1" x14ac:dyDescent="0.3">
      <c r="A27" s="35"/>
      <c r="B27" s="38"/>
      <c r="C27" s="4">
        <v>10000</v>
      </c>
      <c r="D27" s="18">
        <v>83.473950000000002</v>
      </c>
      <c r="E27" s="18">
        <v>83.606660000000005</v>
      </c>
      <c r="F27" s="18">
        <v>82.795140000000004</v>
      </c>
      <c r="G27" s="18">
        <v>81.964780000000005</v>
      </c>
      <c r="H27" s="18">
        <v>80.864779999999996</v>
      </c>
      <c r="I27" s="18">
        <v>79.232100000000003</v>
      </c>
      <c r="J27" s="18">
        <v>79.170680000000004</v>
      </c>
      <c r="K27" s="18">
        <v>80.688990000000004</v>
      </c>
      <c r="L27" s="18">
        <v>80.362840000000006</v>
      </c>
      <c r="M27" s="18">
        <v>80.476339999999993</v>
      </c>
      <c r="N27" s="27">
        <f t="shared" si="1"/>
        <v>79.170680000000004</v>
      </c>
    </row>
    <row r="28" spans="1:14" x14ac:dyDescent="0.25">
      <c r="A28" s="34">
        <v>4</v>
      </c>
      <c r="B28" s="36">
        <v>10</v>
      </c>
      <c r="C28" s="2">
        <v>10</v>
      </c>
      <c r="D28" s="9">
        <v>1.7988600000000001E-4</v>
      </c>
      <c r="E28" s="9">
        <v>3.0834599999999998E-4</v>
      </c>
      <c r="F28" s="9">
        <v>2.2096299999999999E-4</v>
      </c>
      <c r="G28" s="9">
        <v>2.4417699999999999E-4</v>
      </c>
      <c r="H28" s="9">
        <v>2.4906599999999999E-4</v>
      </c>
      <c r="I28" s="9">
        <v>1.6536900000000001E-4</v>
      </c>
      <c r="J28" s="9">
        <v>2.7062599999999999E-4</v>
      </c>
      <c r="K28" s="9">
        <v>1.9355199999999999E-4</v>
      </c>
      <c r="L28" s="9">
        <v>2.2685399999999999E-4</v>
      </c>
      <c r="M28" s="9">
        <v>1.6489900000000001E-4</v>
      </c>
      <c r="N28" s="10">
        <f t="shared" si="1"/>
        <v>1.6489900000000001E-4</v>
      </c>
    </row>
    <row r="29" spans="1:14" x14ac:dyDescent="0.25">
      <c r="A29" s="35"/>
      <c r="B29" s="37"/>
      <c r="C29" s="3">
        <v>100</v>
      </c>
      <c r="D29" s="8">
        <v>5.3474000000000002E-4</v>
      </c>
      <c r="E29" s="8">
        <v>5.8574500000000004E-4</v>
      </c>
      <c r="F29" s="8">
        <v>3.8347799999999998E-4</v>
      </c>
      <c r="G29" s="8">
        <v>1.5308629999999999E-3</v>
      </c>
      <c r="H29" s="8">
        <v>3.1853600000000001E-4</v>
      </c>
      <c r="I29" s="8">
        <v>3.0262600000000001E-4</v>
      </c>
      <c r="J29" s="8">
        <v>4.4703700000000001E-4</v>
      </c>
      <c r="K29" s="8">
        <v>3.1251500000000003E-4</v>
      </c>
      <c r="L29" s="8">
        <v>3.8423800000000002E-4</v>
      </c>
      <c r="M29" s="8">
        <v>3.7570300000000002E-4</v>
      </c>
      <c r="N29" s="26">
        <f t="shared" si="1"/>
        <v>3.0262600000000001E-4</v>
      </c>
    </row>
    <row r="30" spans="1:14" x14ac:dyDescent="0.25">
      <c r="A30" s="35"/>
      <c r="B30" s="37"/>
      <c r="C30" s="3">
        <v>1000</v>
      </c>
      <c r="D30" s="8">
        <v>1.851573E-3</v>
      </c>
      <c r="E30" s="8">
        <v>2.002827E-3</v>
      </c>
      <c r="F30" s="8">
        <v>1.7735170000000001E-3</v>
      </c>
      <c r="G30" s="8">
        <v>2.097504E-3</v>
      </c>
      <c r="H30" s="8">
        <v>1.7589210000000001E-3</v>
      </c>
      <c r="I30" s="8">
        <v>1.993379E-3</v>
      </c>
      <c r="J30" s="8">
        <v>1.8460830000000001E-3</v>
      </c>
      <c r="K30" s="8">
        <v>2.1659510000000002E-3</v>
      </c>
      <c r="L30" s="8">
        <v>1.8080730000000001E-3</v>
      </c>
      <c r="M30" s="8">
        <v>2.284964E-3</v>
      </c>
      <c r="N30" s="26">
        <f t="shared" si="1"/>
        <v>1.7589210000000001E-3</v>
      </c>
    </row>
    <row r="31" spans="1:14" ht="15.75" thickBot="1" x14ac:dyDescent="0.3">
      <c r="A31" s="35"/>
      <c r="B31" s="38"/>
      <c r="C31" s="4">
        <v>10000</v>
      </c>
      <c r="D31" s="18">
        <v>1.7761720000000002E-2</v>
      </c>
      <c r="E31" s="18">
        <v>1.6109869999999998E-2</v>
      </c>
      <c r="F31" s="18">
        <v>1.6293040000000002E-2</v>
      </c>
      <c r="G31" s="18">
        <v>2.0307780000000001E-2</v>
      </c>
      <c r="H31" s="18">
        <v>1.340132E-2</v>
      </c>
      <c r="I31" s="18">
        <v>1.7065E-2</v>
      </c>
      <c r="J31" s="18">
        <v>1.7644409999999999E-2</v>
      </c>
      <c r="K31" s="18">
        <v>1.8425070000000002E-2</v>
      </c>
      <c r="L31" s="18">
        <v>1.7870899999999999E-2</v>
      </c>
      <c r="M31" s="18">
        <v>1.7113779999999999E-2</v>
      </c>
      <c r="N31" s="27">
        <f t="shared" si="1"/>
        <v>1.340132E-2</v>
      </c>
    </row>
    <row r="32" spans="1:14" x14ac:dyDescent="0.25">
      <c r="A32" s="35"/>
      <c r="B32" s="36">
        <v>100</v>
      </c>
      <c r="C32" s="2">
        <v>10</v>
      </c>
      <c r="D32" s="9">
        <v>7.4684700000000003E-4</v>
      </c>
      <c r="E32" s="9">
        <v>8.7436499999999999E-4</v>
      </c>
      <c r="F32" s="9">
        <v>9.5404400000000003E-4</v>
      </c>
      <c r="G32" s="9">
        <v>9.8526299999999989E-4</v>
      </c>
      <c r="H32" s="9">
        <v>7.8792399999999996E-4</v>
      </c>
      <c r="I32" s="9">
        <v>9.5307300000000003E-4</v>
      </c>
      <c r="J32" s="9">
        <v>7.7516E-4</v>
      </c>
      <c r="K32" s="9">
        <v>5.8523500000000003E-4</v>
      </c>
      <c r="L32" s="9">
        <v>5.4669300000000001E-4</v>
      </c>
      <c r="M32" s="9">
        <v>1.3510169999999999E-3</v>
      </c>
      <c r="N32" s="10">
        <f t="shared" si="1"/>
        <v>5.4669300000000001E-4</v>
      </c>
    </row>
    <row r="33" spans="1:14" x14ac:dyDescent="0.25">
      <c r="A33" s="35"/>
      <c r="B33" s="37"/>
      <c r="C33" s="3">
        <v>100</v>
      </c>
      <c r="D33" s="8">
        <v>4.3041809999999998E-3</v>
      </c>
      <c r="E33" s="8">
        <v>4.3610380000000002E-3</v>
      </c>
      <c r="F33" s="8">
        <v>5.4569980000000002E-3</v>
      </c>
      <c r="G33" s="8">
        <v>5.2335300000000001E-3</v>
      </c>
      <c r="H33" s="8">
        <v>4.1757310000000002E-3</v>
      </c>
      <c r="I33" s="8">
        <v>4.9878099999999996E-3</v>
      </c>
      <c r="J33" s="8">
        <v>4.8767519999999998E-3</v>
      </c>
      <c r="K33" s="8">
        <v>6.1042589999999999E-3</v>
      </c>
      <c r="L33" s="8">
        <v>6.1045689999999998E-3</v>
      </c>
      <c r="M33" s="8">
        <v>8.1706939999999992E-3</v>
      </c>
      <c r="N33" s="26">
        <f t="shared" si="1"/>
        <v>4.1757310000000002E-3</v>
      </c>
    </row>
    <row r="34" spans="1:14" x14ac:dyDescent="0.25">
      <c r="A34" s="35"/>
      <c r="B34" s="37"/>
      <c r="C34" s="3">
        <v>1000</v>
      </c>
      <c r="D34" s="8">
        <v>5.7596260000000003E-2</v>
      </c>
      <c r="E34" s="8">
        <v>5.2007020000000001E-2</v>
      </c>
      <c r="F34" s="8">
        <v>5.4636589999999999E-2</v>
      </c>
      <c r="G34" s="8">
        <v>6.018776E-2</v>
      </c>
      <c r="H34" s="8">
        <v>5.8327270000000001E-2</v>
      </c>
      <c r="I34" s="8">
        <v>5.185261E-2</v>
      </c>
      <c r="J34" s="8">
        <v>6.0458860000000003E-2</v>
      </c>
      <c r="K34" s="8">
        <v>5.67106E-2</v>
      </c>
      <c r="L34" s="8">
        <v>6.1925649999999999E-2</v>
      </c>
      <c r="M34" s="8">
        <v>5.5365280000000003E-2</v>
      </c>
      <c r="N34" s="26">
        <f t="shared" si="1"/>
        <v>5.185261E-2</v>
      </c>
    </row>
    <row r="35" spans="1:14" ht="15.75" thickBot="1" x14ac:dyDescent="0.3">
      <c r="A35" s="35"/>
      <c r="B35" s="38"/>
      <c r="C35" s="4">
        <v>10000</v>
      </c>
      <c r="D35" s="18">
        <v>0.55638149999999997</v>
      </c>
      <c r="E35" s="18">
        <v>0.52643960000000001</v>
      </c>
      <c r="F35" s="18">
        <v>0.55201509999999998</v>
      </c>
      <c r="G35" s="18">
        <v>0.52308969999999999</v>
      </c>
      <c r="H35" s="18">
        <v>0.54903780000000002</v>
      </c>
      <c r="I35" s="18">
        <v>0.54842069999999998</v>
      </c>
      <c r="J35" s="18">
        <v>0.54509810000000003</v>
      </c>
      <c r="K35" s="18">
        <v>0.59593870000000004</v>
      </c>
      <c r="L35" s="18">
        <v>0.52329820000000005</v>
      </c>
      <c r="M35" s="18">
        <v>0.53137990000000002</v>
      </c>
      <c r="N35" s="27">
        <f t="shared" si="1"/>
        <v>0.52308969999999999</v>
      </c>
    </row>
    <row r="36" spans="1:14" x14ac:dyDescent="0.25">
      <c r="A36" s="35"/>
      <c r="B36" s="36">
        <v>1000</v>
      </c>
      <c r="C36" s="2">
        <v>10</v>
      </c>
      <c r="D36" s="9">
        <v>5.9592199999999998E-2</v>
      </c>
      <c r="E36" s="9">
        <v>4.8510520000000001E-2</v>
      </c>
      <c r="F36" s="9">
        <v>5.6848019999999999E-2</v>
      </c>
      <c r="G36" s="9">
        <v>5.6059310000000001E-2</v>
      </c>
      <c r="H36" s="9">
        <v>4.7383120000000001E-2</v>
      </c>
      <c r="I36" s="9">
        <v>5.6307530000000001E-2</v>
      </c>
      <c r="J36" s="9">
        <v>9.2399490000000001E-2</v>
      </c>
      <c r="K36" s="9">
        <v>0.1010964</v>
      </c>
      <c r="L36" s="9">
        <v>5.0199969999999997E-2</v>
      </c>
      <c r="M36" s="9">
        <v>4.8000300000000003E-2</v>
      </c>
      <c r="N36" s="10">
        <f t="shared" si="1"/>
        <v>4.7383120000000001E-2</v>
      </c>
    </row>
    <row r="37" spans="1:14" x14ac:dyDescent="0.25">
      <c r="A37" s="35"/>
      <c r="B37" s="37"/>
      <c r="C37" s="3">
        <v>100</v>
      </c>
      <c r="D37" s="8">
        <v>0.57352639999999999</v>
      </c>
      <c r="E37" s="8">
        <v>0.57213789999999998</v>
      </c>
      <c r="F37" s="8">
        <v>0.54454020000000003</v>
      </c>
      <c r="G37" s="8">
        <v>0.48623830000000001</v>
      </c>
      <c r="H37" s="8">
        <v>0.50853689999999996</v>
      </c>
      <c r="I37" s="8">
        <v>0.54579359999999999</v>
      </c>
      <c r="J37" s="8">
        <v>0.50007109999999999</v>
      </c>
      <c r="K37" s="8">
        <v>0.55849260000000001</v>
      </c>
      <c r="L37" s="8">
        <v>0.5479077</v>
      </c>
      <c r="M37" s="8">
        <v>0.58737620000000001</v>
      </c>
      <c r="N37" s="26">
        <f t="shared" si="1"/>
        <v>0.48623830000000001</v>
      </c>
    </row>
    <row r="38" spans="1:14" x14ac:dyDescent="0.25">
      <c r="A38" s="35"/>
      <c r="B38" s="37"/>
      <c r="C38" s="3">
        <v>1000</v>
      </c>
      <c r="D38" s="8">
        <v>5.4439869999999999</v>
      </c>
      <c r="E38" s="8">
        <v>5.4342439999999996</v>
      </c>
      <c r="F38" s="8">
        <v>5.5783519999999998</v>
      </c>
      <c r="G38" s="8">
        <v>5.5198429999999998</v>
      </c>
      <c r="H38" s="8">
        <v>5.545356</v>
      </c>
      <c r="I38" s="8">
        <v>5.4799449999999998</v>
      </c>
      <c r="J38" s="8">
        <v>5.6181390000000002</v>
      </c>
      <c r="K38" s="8">
        <v>5.5094469999999998</v>
      </c>
      <c r="L38" s="8">
        <v>5.592009</v>
      </c>
      <c r="M38" s="8">
        <v>5.5686799999999996</v>
      </c>
      <c r="N38" s="26">
        <f t="shared" si="1"/>
        <v>5.4342439999999996</v>
      </c>
    </row>
    <row r="39" spans="1:14" ht="15.75" thickBot="1" x14ac:dyDescent="0.3">
      <c r="A39" s="51"/>
      <c r="B39" s="38"/>
      <c r="C39" s="4">
        <v>10000</v>
      </c>
      <c r="D39" s="18">
        <v>51.980139999999999</v>
      </c>
      <c r="E39" s="18">
        <v>51.591119999999997</v>
      </c>
      <c r="F39" s="18">
        <v>52.689489999999999</v>
      </c>
      <c r="G39" s="18">
        <v>56.989469999999997</v>
      </c>
      <c r="H39" s="18">
        <v>56.398780000000002</v>
      </c>
      <c r="I39" s="18">
        <v>54.411340000000003</v>
      </c>
      <c r="J39" s="18">
        <v>54.157310000000003</v>
      </c>
      <c r="K39" s="18">
        <v>53.008150000000001</v>
      </c>
      <c r="L39" s="18">
        <v>54.962499999999999</v>
      </c>
      <c r="M39" s="18">
        <v>53.222459999999998</v>
      </c>
      <c r="N39" s="27">
        <f t="shared" si="1"/>
        <v>51.591119999999997</v>
      </c>
    </row>
    <row r="40" spans="1:14" ht="15.75" thickBot="1" x14ac:dyDescent="0.3"/>
    <row r="41" spans="1:14" x14ac:dyDescent="0.25">
      <c r="A41" s="39" t="s">
        <v>5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1"/>
    </row>
    <row r="42" spans="1:14" x14ac:dyDescent="0.25">
      <c r="A42" s="42" t="s">
        <v>1</v>
      </c>
      <c r="B42" s="44" t="s">
        <v>2</v>
      </c>
      <c r="C42" s="44" t="s">
        <v>3</v>
      </c>
      <c r="D42" s="46" t="s">
        <v>17</v>
      </c>
      <c r="E42" s="46"/>
      <c r="F42" s="46"/>
      <c r="G42" s="46"/>
      <c r="H42" s="46"/>
      <c r="I42" s="46"/>
      <c r="J42" s="46"/>
      <c r="K42" s="46"/>
      <c r="L42" s="46"/>
      <c r="M42" s="46"/>
      <c r="N42" s="32" t="s">
        <v>0</v>
      </c>
    </row>
    <row r="43" spans="1:14" ht="15.75" thickBot="1" x14ac:dyDescent="0.3">
      <c r="A43" s="43"/>
      <c r="B43" s="45"/>
      <c r="C43" s="45"/>
      <c r="D43" s="6">
        <v>1</v>
      </c>
      <c r="E43" s="6">
        <v>2</v>
      </c>
      <c r="F43" s="6">
        <v>3</v>
      </c>
      <c r="G43" s="6">
        <v>4</v>
      </c>
      <c r="H43" s="6">
        <v>5</v>
      </c>
      <c r="I43" s="6">
        <v>6</v>
      </c>
      <c r="J43" s="6">
        <v>7</v>
      </c>
      <c r="K43" s="6">
        <v>8</v>
      </c>
      <c r="L43" s="6">
        <v>9</v>
      </c>
      <c r="M43" s="6">
        <v>10</v>
      </c>
      <c r="N43" s="47"/>
    </row>
    <row r="44" spans="1:14" x14ac:dyDescent="0.25">
      <c r="A44" s="34">
        <v>1</v>
      </c>
      <c r="B44" s="36">
        <v>10</v>
      </c>
      <c r="C44" s="2">
        <v>10</v>
      </c>
      <c r="D44" s="9">
        <v>1.7543000000000001E-5</v>
      </c>
      <c r="E44" s="9">
        <v>1.7533E-5</v>
      </c>
      <c r="F44" s="9">
        <v>1.7373000000000001E-5</v>
      </c>
      <c r="G44" s="9">
        <v>1.7152000000000001E-5</v>
      </c>
      <c r="H44" s="9">
        <v>1.7142E-5</v>
      </c>
      <c r="I44" s="9">
        <v>1.7031999999999999E-5</v>
      </c>
      <c r="J44" s="9">
        <v>1.7543000000000001E-5</v>
      </c>
      <c r="K44" s="9">
        <v>1.7002000000000001E-5</v>
      </c>
      <c r="L44" s="9">
        <v>1.7873999999999999E-5</v>
      </c>
      <c r="M44" s="9">
        <v>1.7263000000000001E-5</v>
      </c>
      <c r="N44" s="10">
        <f>MIN(D44:M44)</f>
        <v>1.7002000000000001E-5</v>
      </c>
    </row>
    <row r="45" spans="1:14" x14ac:dyDescent="0.25">
      <c r="A45" s="35"/>
      <c r="B45" s="37"/>
      <c r="C45" s="3">
        <v>100</v>
      </c>
      <c r="D45" s="8">
        <v>1.36675E-4</v>
      </c>
      <c r="E45" s="8">
        <v>1.3634500000000001E-4</v>
      </c>
      <c r="F45" s="8">
        <v>1.37257E-4</v>
      </c>
      <c r="G45" s="8">
        <v>1.36425E-4</v>
      </c>
      <c r="H45" s="8">
        <v>1.3551399999999999E-4</v>
      </c>
      <c r="I45" s="8">
        <v>1.3728699999999999E-4</v>
      </c>
      <c r="J45" s="8">
        <v>1.3611499999999999E-4</v>
      </c>
      <c r="K45" s="8">
        <v>1.3619500000000001E-4</v>
      </c>
      <c r="L45" s="8">
        <v>1.37558E-4</v>
      </c>
      <c r="M45" s="8">
        <v>1.3622499999999999E-4</v>
      </c>
      <c r="N45" s="26">
        <f t="shared" ref="N45:N55" si="2">MIN(D45:M45)</f>
        <v>1.3551399999999999E-4</v>
      </c>
    </row>
    <row r="46" spans="1:14" x14ac:dyDescent="0.25">
      <c r="A46" s="35"/>
      <c r="B46" s="37"/>
      <c r="C46" s="3">
        <v>1000</v>
      </c>
      <c r="D46" s="8">
        <v>1.3694429999999999E-3</v>
      </c>
      <c r="E46" s="8">
        <v>1.37794E-3</v>
      </c>
      <c r="F46" s="8">
        <v>1.348194E-3</v>
      </c>
      <c r="G46" s="8">
        <v>1.3595250000000001E-3</v>
      </c>
      <c r="H46" s="8">
        <v>1.367229E-3</v>
      </c>
      <c r="I46" s="8">
        <v>1.3962740000000001E-3</v>
      </c>
      <c r="J46" s="8">
        <v>1.3792520000000001E-3</v>
      </c>
      <c r="K46" s="8">
        <v>1.338435E-3</v>
      </c>
      <c r="L46" s="8">
        <v>1.329989E-3</v>
      </c>
      <c r="M46" s="8">
        <v>1.3745529999999999E-3</v>
      </c>
      <c r="N46" s="26">
        <f t="shared" si="2"/>
        <v>1.329989E-3</v>
      </c>
    </row>
    <row r="47" spans="1:14" ht="15.75" thickBot="1" x14ac:dyDescent="0.3">
      <c r="A47" s="35"/>
      <c r="B47" s="38"/>
      <c r="C47" s="4">
        <v>10000</v>
      </c>
      <c r="D47" s="18">
        <v>1.3559079999999999E-2</v>
      </c>
      <c r="E47" s="18">
        <v>1.3487239999999999E-2</v>
      </c>
      <c r="F47" s="18">
        <v>1.3587429999999999E-2</v>
      </c>
      <c r="G47" s="18">
        <v>1.3430040000000001E-2</v>
      </c>
      <c r="H47" s="18">
        <v>1.3452860000000001E-2</v>
      </c>
      <c r="I47" s="18">
        <v>1.348156E-2</v>
      </c>
      <c r="J47" s="18">
        <v>1.3489309999999999E-2</v>
      </c>
      <c r="K47" s="18">
        <v>1.352889E-2</v>
      </c>
      <c r="L47" s="18">
        <v>1.488575E-2</v>
      </c>
      <c r="M47" s="18">
        <v>1.338364E-2</v>
      </c>
      <c r="N47" s="27">
        <f t="shared" si="2"/>
        <v>1.338364E-2</v>
      </c>
    </row>
    <row r="48" spans="1:14" x14ac:dyDescent="0.25">
      <c r="A48" s="35"/>
      <c r="B48" s="36">
        <v>100</v>
      </c>
      <c r="C48" s="2">
        <v>10</v>
      </c>
      <c r="D48" s="9">
        <v>9.2812799999999996E-4</v>
      </c>
      <c r="E48" s="9">
        <v>9.5931599999999999E-4</v>
      </c>
      <c r="F48" s="9">
        <v>9.0299100000000002E-4</v>
      </c>
      <c r="G48" s="9">
        <v>9.0721900000000002E-4</v>
      </c>
      <c r="H48" s="9">
        <v>9.71539E-4</v>
      </c>
      <c r="I48" s="9">
        <v>9.4166200000000001E-4</v>
      </c>
      <c r="J48" s="9">
        <v>9.3199500000000002E-4</v>
      </c>
      <c r="K48" s="9">
        <v>9.3710500000000003E-4</v>
      </c>
      <c r="L48" s="9">
        <v>9.3951899999999999E-4</v>
      </c>
      <c r="M48" s="9">
        <v>9.820880000000001E-4</v>
      </c>
      <c r="N48" s="10">
        <f t="shared" si="2"/>
        <v>9.0299100000000002E-4</v>
      </c>
    </row>
    <row r="49" spans="1:14" x14ac:dyDescent="0.25">
      <c r="A49" s="35"/>
      <c r="B49" s="37"/>
      <c r="C49" s="3">
        <v>100</v>
      </c>
      <c r="D49" s="8">
        <v>9.1800000000000007E-3</v>
      </c>
      <c r="E49" s="8">
        <v>9.3500000000000007E-3</v>
      </c>
      <c r="F49" s="8">
        <v>9.4800000000000006E-3</v>
      </c>
      <c r="G49" s="8">
        <v>9.3900000000000008E-3</v>
      </c>
      <c r="H49" s="8">
        <v>9.1599999999999997E-3</v>
      </c>
      <c r="I49" s="8">
        <v>9.4900000000000002E-3</v>
      </c>
      <c r="J49" s="8">
        <v>9.1400000000000006E-3</v>
      </c>
      <c r="K49" s="8">
        <v>9.1699999999999993E-3</v>
      </c>
      <c r="L49" s="8">
        <v>9.1500000000000001E-3</v>
      </c>
      <c r="M49" s="8">
        <v>9.1299999999999992E-3</v>
      </c>
      <c r="N49" s="26">
        <f t="shared" si="2"/>
        <v>9.1299999999999992E-3</v>
      </c>
    </row>
    <row r="50" spans="1:14" x14ac:dyDescent="0.25">
      <c r="A50" s="35"/>
      <c r="B50" s="37"/>
      <c r="C50" s="3">
        <v>1000</v>
      </c>
      <c r="D50" s="8">
        <v>9.2200000000000004E-2</v>
      </c>
      <c r="E50" s="8">
        <v>9.1499999999999998E-2</v>
      </c>
      <c r="F50" s="8">
        <v>9.74E-2</v>
      </c>
      <c r="G50" s="8">
        <v>9.0899999999999995E-2</v>
      </c>
      <c r="H50" s="8">
        <v>9.1200000000000003E-2</v>
      </c>
      <c r="I50" s="8">
        <v>9.2499999999999999E-2</v>
      </c>
      <c r="J50" s="8">
        <v>9.2100000000000001E-2</v>
      </c>
      <c r="K50" s="8">
        <v>9.1999999999999998E-2</v>
      </c>
      <c r="L50" s="8">
        <v>9.11E-2</v>
      </c>
      <c r="M50" s="8">
        <v>9.2299999999999993E-2</v>
      </c>
      <c r="N50" s="26">
        <f t="shared" si="2"/>
        <v>9.0899999999999995E-2</v>
      </c>
    </row>
    <row r="51" spans="1:14" ht="15.75" thickBot="1" x14ac:dyDescent="0.3">
      <c r="A51" s="35"/>
      <c r="B51" s="38"/>
      <c r="C51" s="4">
        <v>10000</v>
      </c>
      <c r="D51" s="18">
        <v>0.9302376</v>
      </c>
      <c r="E51" s="18">
        <v>0.92932060000000005</v>
      </c>
      <c r="F51" s="18">
        <v>0.92869179999999996</v>
      </c>
      <c r="G51" s="18">
        <v>0.94294259999999996</v>
      </c>
      <c r="H51" s="18">
        <v>0.92613109999999998</v>
      </c>
      <c r="I51" s="18">
        <v>0.9265679</v>
      </c>
      <c r="J51" s="18">
        <v>0.92249340000000002</v>
      </c>
      <c r="K51" s="18">
        <v>0.93142420000000004</v>
      </c>
      <c r="L51" s="18">
        <v>0.9293633</v>
      </c>
      <c r="M51" s="18">
        <v>0.92682880000000001</v>
      </c>
      <c r="N51" s="27">
        <f t="shared" si="2"/>
        <v>0.92249340000000002</v>
      </c>
    </row>
    <row r="52" spans="1:14" x14ac:dyDescent="0.25">
      <c r="A52" s="35"/>
      <c r="B52" s="36">
        <v>1000</v>
      </c>
      <c r="C52" s="2">
        <v>10</v>
      </c>
      <c r="D52" s="9">
        <v>9.1399999999999995E-2</v>
      </c>
      <c r="E52" s="9">
        <v>8.8900000000000007E-2</v>
      </c>
      <c r="F52" s="9">
        <v>9.1499999999999998E-2</v>
      </c>
      <c r="G52" s="9">
        <v>9.0399999999999994E-2</v>
      </c>
      <c r="H52" s="9">
        <v>8.9700000000000002E-2</v>
      </c>
      <c r="I52" s="9">
        <v>9.4799999999999995E-2</v>
      </c>
      <c r="J52" s="9">
        <v>0.10100000000000001</v>
      </c>
      <c r="K52" s="9">
        <v>8.9599999999999999E-2</v>
      </c>
      <c r="L52" s="9">
        <v>9.1800000000000007E-2</v>
      </c>
      <c r="M52" s="9">
        <v>9.1999999999999998E-2</v>
      </c>
      <c r="N52" s="10">
        <f t="shared" si="2"/>
        <v>8.8900000000000007E-2</v>
      </c>
    </row>
    <row r="53" spans="1:14" x14ac:dyDescent="0.25">
      <c r="A53" s="35"/>
      <c r="B53" s="37"/>
      <c r="C53" s="3">
        <v>100</v>
      </c>
      <c r="D53" s="8">
        <v>0.90600000000000003</v>
      </c>
      <c r="E53" s="8">
        <v>0.90100000000000002</v>
      </c>
      <c r="F53" s="8">
        <v>0.9</v>
      </c>
      <c r="G53" s="8">
        <v>0.89900000000000002</v>
      </c>
      <c r="H53" s="8">
        <v>0.91100000000000003</v>
      </c>
      <c r="I53" s="8">
        <v>0.90200000000000002</v>
      </c>
      <c r="J53" s="8">
        <v>0.90100000000000002</v>
      </c>
      <c r="K53" s="8">
        <v>0.90700000000000003</v>
      </c>
      <c r="L53" s="8">
        <v>0.90500000000000003</v>
      </c>
      <c r="M53" s="8">
        <v>0.90700000000000003</v>
      </c>
      <c r="N53" s="26">
        <f t="shared" si="2"/>
        <v>0.89900000000000002</v>
      </c>
    </row>
    <row r="54" spans="1:14" x14ac:dyDescent="0.25">
      <c r="A54" s="35"/>
      <c r="B54" s="37"/>
      <c r="C54" s="3">
        <v>1000</v>
      </c>
      <c r="D54" s="8">
        <v>9.0500000000000007</v>
      </c>
      <c r="E54" s="8">
        <v>9.08</v>
      </c>
      <c r="F54" s="8">
        <v>9.0299999999999994</v>
      </c>
      <c r="G54" s="8">
        <v>9.07</v>
      </c>
      <c r="H54" s="8">
        <v>9.0299999999999994</v>
      </c>
      <c r="I54" s="8">
        <v>9.09</v>
      </c>
      <c r="J54" s="8">
        <v>9.1</v>
      </c>
      <c r="K54" s="8">
        <v>9.09</v>
      </c>
      <c r="L54" s="8">
        <v>9.14</v>
      </c>
      <c r="M54" s="8">
        <v>9.0500000000000007</v>
      </c>
      <c r="N54" s="26">
        <f t="shared" si="2"/>
        <v>9.0299999999999994</v>
      </c>
    </row>
    <row r="55" spans="1:14" ht="15.75" thickBot="1" x14ac:dyDescent="0.3">
      <c r="A55" s="35"/>
      <c r="B55" s="38"/>
      <c r="C55" s="4">
        <v>10000</v>
      </c>
      <c r="D55" s="18">
        <v>93.693770000000001</v>
      </c>
      <c r="E55" s="18">
        <v>91.472639999999998</v>
      </c>
      <c r="F55" s="18">
        <v>92.298379999999995</v>
      </c>
      <c r="G55" s="18">
        <v>91.497309999999999</v>
      </c>
      <c r="H55" s="18">
        <v>91.159829999999999</v>
      </c>
      <c r="I55" s="18">
        <v>90.889089999999996</v>
      </c>
      <c r="J55" s="18">
        <v>91.463639999999998</v>
      </c>
      <c r="K55" s="18">
        <v>90.922229999999999</v>
      </c>
      <c r="L55" s="18">
        <v>90.727620000000002</v>
      </c>
      <c r="M55" s="18">
        <v>90.859560000000002</v>
      </c>
      <c r="N55" s="27">
        <f t="shared" si="2"/>
        <v>90.727620000000002</v>
      </c>
    </row>
    <row r="56" spans="1:14" x14ac:dyDescent="0.25">
      <c r="A56" s="34">
        <v>2</v>
      </c>
      <c r="B56" s="36">
        <v>10</v>
      </c>
      <c r="C56" s="2">
        <v>10</v>
      </c>
      <c r="D56" s="9">
        <v>1.15E-4</v>
      </c>
      <c r="E56" s="9">
        <v>1.08E-4</v>
      </c>
      <c r="F56" s="9">
        <v>1.0399999999999999E-4</v>
      </c>
      <c r="G56" s="9">
        <v>9.2700000000000004E-5</v>
      </c>
      <c r="H56" s="9">
        <v>1E-4</v>
      </c>
      <c r="I56" s="9">
        <v>8.5400000000000002E-5</v>
      </c>
      <c r="J56" s="9">
        <v>9.7399999999999996E-5</v>
      </c>
      <c r="K56" s="9">
        <v>7.7799999999999994E-5</v>
      </c>
      <c r="L56" s="9">
        <v>1.11E-4</v>
      </c>
      <c r="M56" s="9">
        <v>9.5299999999999999E-5</v>
      </c>
      <c r="N56" s="10">
        <f t="shared" ref="N56:N79" si="3">MIN(D56:M56)</f>
        <v>7.7799999999999994E-5</v>
      </c>
    </row>
    <row r="57" spans="1:14" x14ac:dyDescent="0.25">
      <c r="A57" s="35"/>
      <c r="B57" s="37"/>
      <c r="C57" s="3">
        <v>100</v>
      </c>
      <c r="D57" s="8">
        <v>2.2100000000000001E-4</v>
      </c>
      <c r="E57" s="8">
        <v>2.13E-4</v>
      </c>
      <c r="F57" s="8">
        <v>3.21E-4</v>
      </c>
      <c r="G57" s="8">
        <v>3.0200000000000002E-4</v>
      </c>
      <c r="H57" s="8">
        <v>2.1499999999999999E-4</v>
      </c>
      <c r="I57" s="8">
        <v>3.1700000000000001E-4</v>
      </c>
      <c r="J57" s="8">
        <v>1.9900000000000001E-4</v>
      </c>
      <c r="K57" s="8">
        <v>5.0600000000000005E-4</v>
      </c>
      <c r="L57" s="8">
        <v>2.2800000000000001E-4</v>
      </c>
      <c r="M57" s="8">
        <v>2.34E-4</v>
      </c>
      <c r="N57" s="26">
        <f t="shared" si="3"/>
        <v>1.9900000000000001E-4</v>
      </c>
    </row>
    <row r="58" spans="1:14" x14ac:dyDescent="0.25">
      <c r="A58" s="35"/>
      <c r="B58" s="37"/>
      <c r="C58" s="3">
        <v>1000</v>
      </c>
      <c r="D58" s="8">
        <v>2.2799999999999999E-3</v>
      </c>
      <c r="E58" s="8">
        <v>2.31E-3</v>
      </c>
      <c r="F58" s="8">
        <v>1.4499999999999999E-3</v>
      </c>
      <c r="G58" s="8">
        <v>2.33E-3</v>
      </c>
      <c r="H58" s="8">
        <v>2.3800000000000002E-3</v>
      </c>
      <c r="I58" s="8">
        <v>1.57E-3</v>
      </c>
      <c r="J58" s="8">
        <v>2.31E-3</v>
      </c>
      <c r="K58" s="8">
        <v>1.48E-3</v>
      </c>
      <c r="L58" s="8">
        <v>2.3500000000000001E-3</v>
      </c>
      <c r="M58" s="8">
        <v>1.47E-3</v>
      </c>
      <c r="N58" s="26">
        <f t="shared" si="3"/>
        <v>1.4499999999999999E-3</v>
      </c>
    </row>
    <row r="59" spans="1:14" ht="15.75" thickBot="1" x14ac:dyDescent="0.3">
      <c r="A59" s="35"/>
      <c r="B59" s="38"/>
      <c r="C59" s="4">
        <v>10000</v>
      </c>
      <c r="D59" s="18">
        <v>1.443292E-2</v>
      </c>
      <c r="E59" s="18">
        <v>1.422066E-2</v>
      </c>
      <c r="F59" s="18">
        <v>1.8129490000000002E-2</v>
      </c>
      <c r="G59" s="18">
        <v>2.3302659999999999E-2</v>
      </c>
      <c r="H59" s="18">
        <v>2.2715809999999999E-2</v>
      </c>
      <c r="I59" s="18">
        <v>2.211948E-2</v>
      </c>
      <c r="J59" s="18">
        <v>1.447291E-2</v>
      </c>
      <c r="K59" s="18">
        <v>2.244386E-2</v>
      </c>
      <c r="L59" s="18">
        <v>2.2468640000000002E-2</v>
      </c>
      <c r="M59" s="18">
        <v>2.237569E-2</v>
      </c>
      <c r="N59" s="27">
        <f t="shared" si="3"/>
        <v>1.422066E-2</v>
      </c>
    </row>
    <row r="60" spans="1:14" x14ac:dyDescent="0.25">
      <c r="A60" s="35"/>
      <c r="B60" s="36">
        <v>100</v>
      </c>
      <c r="C60" s="2">
        <v>10</v>
      </c>
      <c r="D60" s="9">
        <v>7.8799999999999996E-4</v>
      </c>
      <c r="E60" s="9">
        <v>7.6499999999999995E-4</v>
      </c>
      <c r="F60" s="9">
        <v>7.6400000000000003E-4</v>
      </c>
      <c r="G60" s="9">
        <v>7.76E-4</v>
      </c>
      <c r="H60" s="9">
        <v>7.6199999999999998E-4</v>
      </c>
      <c r="I60" s="9">
        <v>7.4200000000000004E-4</v>
      </c>
      <c r="J60" s="9">
        <v>7.5000000000000002E-4</v>
      </c>
      <c r="K60" s="9">
        <v>7.4200000000000004E-4</v>
      </c>
      <c r="L60" s="9">
        <v>7.6800000000000002E-4</v>
      </c>
      <c r="M60" s="9">
        <v>7.6900000000000004E-4</v>
      </c>
      <c r="N60" s="10">
        <f t="shared" si="3"/>
        <v>7.4200000000000004E-4</v>
      </c>
    </row>
    <row r="61" spans="1:14" x14ac:dyDescent="0.25">
      <c r="A61" s="35"/>
      <c r="B61" s="37"/>
      <c r="C61" s="3">
        <v>100</v>
      </c>
      <c r="D61" s="8">
        <v>7.6E-3</v>
      </c>
      <c r="E61" s="8">
        <v>7.0800000000000004E-3</v>
      </c>
      <c r="F61" s="8">
        <v>7.3400000000000002E-3</v>
      </c>
      <c r="G61" s="8">
        <v>7.1799999999999998E-3</v>
      </c>
      <c r="H61" s="8">
        <v>7.0899999999999999E-3</v>
      </c>
      <c r="I61" s="8">
        <v>7.3099999999999997E-3</v>
      </c>
      <c r="J61" s="8">
        <v>7.1300000000000001E-3</v>
      </c>
      <c r="K61" s="8">
        <v>7.0099999999999997E-3</v>
      </c>
      <c r="L61" s="8">
        <v>7.2100000000000003E-3</v>
      </c>
      <c r="M61" s="8">
        <v>6.9100000000000003E-3</v>
      </c>
      <c r="N61" s="26">
        <f t="shared" si="3"/>
        <v>6.9100000000000003E-3</v>
      </c>
    </row>
    <row r="62" spans="1:14" x14ac:dyDescent="0.25">
      <c r="A62" s="35"/>
      <c r="B62" s="37"/>
      <c r="C62" s="3">
        <v>1000</v>
      </c>
      <c r="D62" s="8">
        <v>6.9800000000000001E-2</v>
      </c>
      <c r="E62" s="8">
        <v>8.1699999999999995E-2</v>
      </c>
      <c r="F62" s="8">
        <v>7.0499999999999993E-2</v>
      </c>
      <c r="G62" s="8">
        <v>6.8400000000000002E-2</v>
      </c>
      <c r="H62" s="8">
        <v>7.2800000000000004E-2</v>
      </c>
      <c r="I62" s="8">
        <v>6.9699999999999998E-2</v>
      </c>
      <c r="J62" s="8">
        <v>7.17E-2</v>
      </c>
      <c r="K62" s="8">
        <v>7.0900000000000005E-2</v>
      </c>
      <c r="L62" s="8">
        <v>7.1499999999999994E-2</v>
      </c>
      <c r="M62" s="8">
        <v>6.9800000000000001E-2</v>
      </c>
      <c r="N62" s="26">
        <f t="shared" si="3"/>
        <v>6.8400000000000002E-2</v>
      </c>
    </row>
    <row r="63" spans="1:14" ht="15.75" thickBot="1" x14ac:dyDescent="0.3">
      <c r="A63" s="35"/>
      <c r="B63" s="38"/>
      <c r="C63" s="4">
        <v>10000</v>
      </c>
      <c r="D63" s="18">
        <v>0.72337600000000002</v>
      </c>
      <c r="E63" s="18">
        <v>0.73049819999999999</v>
      </c>
      <c r="F63" s="18">
        <v>0.71095109999999995</v>
      </c>
      <c r="G63" s="18">
        <v>0.72618320000000003</v>
      </c>
      <c r="H63" s="18">
        <v>0.70993050000000002</v>
      </c>
      <c r="I63" s="18">
        <v>0.78162770000000004</v>
      </c>
      <c r="J63" s="18">
        <v>0.7176091</v>
      </c>
      <c r="K63" s="18">
        <v>0.73975630000000003</v>
      </c>
      <c r="L63" s="18">
        <v>0.77131190000000005</v>
      </c>
      <c r="M63" s="18">
        <v>0.73040769999999999</v>
      </c>
      <c r="N63" s="27">
        <f t="shared" si="3"/>
        <v>0.70993050000000002</v>
      </c>
    </row>
    <row r="64" spans="1:14" x14ac:dyDescent="0.25">
      <c r="A64" s="35"/>
      <c r="B64" s="36">
        <v>1000</v>
      </c>
      <c r="C64" s="2">
        <v>10</v>
      </c>
      <c r="D64" s="9">
        <v>6.7299999999999999E-2</v>
      </c>
      <c r="E64" s="9">
        <v>6.7100000000000007E-2</v>
      </c>
      <c r="F64" s="9">
        <v>6.7699999999999996E-2</v>
      </c>
      <c r="G64" s="9">
        <v>6.7400000000000002E-2</v>
      </c>
      <c r="H64" s="9">
        <v>6.7299999999999999E-2</v>
      </c>
      <c r="I64" s="9">
        <v>6.8699999999999997E-2</v>
      </c>
      <c r="J64" s="9">
        <v>6.8500000000000005E-2</v>
      </c>
      <c r="K64" s="9">
        <v>7.3400000000000007E-2</v>
      </c>
      <c r="L64" s="9">
        <v>8.4500000000000006E-2</v>
      </c>
      <c r="M64" s="9">
        <v>7.4999999999999997E-2</v>
      </c>
      <c r="N64" s="10">
        <f t="shared" si="3"/>
        <v>6.7100000000000007E-2</v>
      </c>
    </row>
    <row r="65" spans="1:14" x14ac:dyDescent="0.25">
      <c r="A65" s="35"/>
      <c r="B65" s="37"/>
      <c r="C65" s="3">
        <v>100</v>
      </c>
      <c r="D65" s="8">
        <v>0.71599999999999997</v>
      </c>
      <c r="E65" s="8">
        <v>0.68300000000000005</v>
      </c>
      <c r="F65" s="8">
        <v>0.71599999999999997</v>
      </c>
      <c r="G65" s="8">
        <v>0.73699999999999999</v>
      </c>
      <c r="H65" s="8">
        <v>0.70699999999999996</v>
      </c>
      <c r="I65" s="8">
        <v>0.67600000000000005</v>
      </c>
      <c r="J65" s="8">
        <v>0.72799999999999998</v>
      </c>
      <c r="K65" s="8">
        <v>0.71299999999999997</v>
      </c>
      <c r="L65" s="8">
        <v>0.754</v>
      </c>
      <c r="M65" s="8">
        <v>0.69099999999999995</v>
      </c>
      <c r="N65" s="26">
        <f t="shared" si="3"/>
        <v>0.67600000000000005</v>
      </c>
    </row>
    <row r="66" spans="1:14" x14ac:dyDescent="0.25">
      <c r="A66" s="35"/>
      <c r="B66" s="37"/>
      <c r="C66" s="3">
        <v>1000</v>
      </c>
      <c r="D66" s="8">
        <v>7.32</v>
      </c>
      <c r="E66" s="8">
        <v>7.18</v>
      </c>
      <c r="F66" s="8">
        <v>7.19</v>
      </c>
      <c r="G66" s="8">
        <v>7.16</v>
      </c>
      <c r="H66" s="8">
        <v>7.14</v>
      </c>
      <c r="I66" s="8">
        <v>7.33</v>
      </c>
      <c r="J66" s="8">
        <v>7.23</v>
      </c>
      <c r="K66" s="8">
        <v>7.7</v>
      </c>
      <c r="L66" s="8">
        <v>7.42</v>
      </c>
      <c r="M66" s="8">
        <v>7.41</v>
      </c>
      <c r="N66" s="26">
        <f t="shared" si="3"/>
        <v>7.14</v>
      </c>
    </row>
    <row r="67" spans="1:14" ht="15.75" thickBot="1" x14ac:dyDescent="0.3">
      <c r="A67" s="35"/>
      <c r="B67" s="38"/>
      <c r="C67" s="4">
        <v>10000</v>
      </c>
      <c r="D67" s="18">
        <v>73.394260000000003</v>
      </c>
      <c r="E67" s="18">
        <v>73.551850000000002</v>
      </c>
      <c r="F67" s="18">
        <v>72.46378</v>
      </c>
      <c r="G67" s="18">
        <v>72.636150000000001</v>
      </c>
      <c r="H67" s="18">
        <v>72.944100000000006</v>
      </c>
      <c r="I67" s="18">
        <v>73.213279999999997</v>
      </c>
      <c r="J67" s="18">
        <v>73.525580000000005</v>
      </c>
      <c r="K67" s="18">
        <v>72.321969999999993</v>
      </c>
      <c r="L67" s="18">
        <v>73.083209999999994</v>
      </c>
      <c r="M67" s="18">
        <v>73.027919999999995</v>
      </c>
      <c r="N67" s="27">
        <f t="shared" si="3"/>
        <v>72.321969999999993</v>
      </c>
    </row>
    <row r="68" spans="1:14" x14ac:dyDescent="0.25">
      <c r="A68" s="34">
        <v>4</v>
      </c>
      <c r="B68" s="36">
        <v>10</v>
      </c>
      <c r="C68" s="2">
        <v>10</v>
      </c>
      <c r="D68" s="9">
        <v>1.9100000000000001E-4</v>
      </c>
      <c r="E68" s="9">
        <v>2.13E-4</v>
      </c>
      <c r="F68" s="9">
        <v>2.1599999999999999E-4</v>
      </c>
      <c r="G68" s="9">
        <v>2.0900000000000001E-4</v>
      </c>
      <c r="H68" s="9">
        <v>2.22E-4</v>
      </c>
      <c r="I68" s="9">
        <v>1.85E-4</v>
      </c>
      <c r="J68" s="9">
        <v>1.9699999999999999E-4</v>
      </c>
      <c r="K68" s="9">
        <v>2.61E-4</v>
      </c>
      <c r="L68" s="9">
        <v>1.92E-4</v>
      </c>
      <c r="M68" s="9">
        <v>1.83E-4</v>
      </c>
      <c r="N68" s="10">
        <f t="shared" si="3"/>
        <v>1.83E-4</v>
      </c>
    </row>
    <row r="69" spans="1:14" x14ac:dyDescent="0.25">
      <c r="A69" s="35"/>
      <c r="B69" s="37"/>
      <c r="C69" s="3">
        <v>100</v>
      </c>
      <c r="D69" s="8">
        <v>4.3300000000000001E-4</v>
      </c>
      <c r="E69" s="8">
        <v>1.4300000000000001E-3</v>
      </c>
      <c r="F69" s="8">
        <v>2.7900000000000001E-4</v>
      </c>
      <c r="G69" s="8">
        <v>4.9899999999999999E-4</v>
      </c>
      <c r="H69" s="8">
        <v>3.9800000000000002E-4</v>
      </c>
      <c r="I69" s="8">
        <v>4.0299999999999998E-4</v>
      </c>
      <c r="J69" s="8">
        <v>4.8799999999999999E-4</v>
      </c>
      <c r="K69" s="8">
        <v>6.02E-4</v>
      </c>
      <c r="L69" s="8">
        <v>4.0000000000000002E-4</v>
      </c>
      <c r="M69" s="8">
        <v>3.6499999999999998E-4</v>
      </c>
      <c r="N69" s="26">
        <f t="shared" si="3"/>
        <v>2.7900000000000001E-4</v>
      </c>
    </row>
    <row r="70" spans="1:14" x14ac:dyDescent="0.25">
      <c r="A70" s="35"/>
      <c r="B70" s="37"/>
      <c r="C70" s="3">
        <v>1000</v>
      </c>
      <c r="D70" s="8">
        <v>2.64E-3</v>
      </c>
      <c r="E70" s="8">
        <v>2.3700000000000001E-3</v>
      </c>
      <c r="F70" s="8">
        <v>2.5600000000000002E-3</v>
      </c>
      <c r="G70" s="8">
        <v>2.4099999999999998E-3</v>
      </c>
      <c r="H70" s="8">
        <v>2.3700000000000001E-3</v>
      </c>
      <c r="I70" s="8">
        <v>2.6700000000000001E-3</v>
      </c>
      <c r="J70" s="8">
        <v>2.7000000000000001E-3</v>
      </c>
      <c r="K70" s="8">
        <v>2.5100000000000001E-3</v>
      </c>
      <c r="L70" s="8">
        <v>2.5000000000000001E-3</v>
      </c>
      <c r="M70" s="8">
        <v>2.5000000000000001E-3</v>
      </c>
      <c r="N70" s="26">
        <f t="shared" si="3"/>
        <v>2.3700000000000001E-3</v>
      </c>
    </row>
    <row r="71" spans="1:14" ht="15.75" thickBot="1" x14ac:dyDescent="0.3">
      <c r="A71" s="35"/>
      <c r="B71" s="38"/>
      <c r="C71" s="4">
        <v>10000</v>
      </c>
      <c r="D71" s="18">
        <v>2.3803890000000001E-2</v>
      </c>
      <c r="E71" s="18">
        <v>2.420574E-2</v>
      </c>
      <c r="F71" s="18">
        <v>2.3998769999999999E-2</v>
      </c>
      <c r="G71" s="18">
        <v>2.3788489999999999E-2</v>
      </c>
      <c r="H71" s="18">
        <v>2.3188859999999999E-2</v>
      </c>
      <c r="I71" s="18">
        <v>2.431678E-2</v>
      </c>
      <c r="J71" s="18">
        <v>2.4639009999999999E-2</v>
      </c>
      <c r="K71" s="18">
        <v>2.38645E-2</v>
      </c>
      <c r="L71" s="18">
        <v>2.2740070000000001E-2</v>
      </c>
      <c r="M71" s="18">
        <v>2.3141579999999998E-2</v>
      </c>
      <c r="N71" s="27">
        <f t="shared" si="3"/>
        <v>2.2740070000000001E-2</v>
      </c>
    </row>
    <row r="72" spans="1:14" x14ac:dyDescent="0.25">
      <c r="A72" s="35"/>
      <c r="B72" s="36">
        <v>100</v>
      </c>
      <c r="C72" s="2">
        <v>10</v>
      </c>
      <c r="D72" s="9">
        <v>5.9199999999999997E-4</v>
      </c>
      <c r="E72" s="9">
        <v>8.1899999999999996E-4</v>
      </c>
      <c r="F72" s="9">
        <v>5.7700000000000004E-4</v>
      </c>
      <c r="G72" s="9">
        <v>5.7600000000000001E-4</v>
      </c>
      <c r="H72" s="9">
        <v>5.6599999999999999E-4</v>
      </c>
      <c r="I72" s="9">
        <v>6.3900000000000003E-4</v>
      </c>
      <c r="J72" s="9">
        <v>5.7799999999999995E-4</v>
      </c>
      <c r="K72" s="9">
        <v>5.8600000000000004E-4</v>
      </c>
      <c r="L72" s="9">
        <v>6.8599999999999998E-4</v>
      </c>
      <c r="M72" s="9">
        <v>5.9599999999999996E-4</v>
      </c>
      <c r="N72" s="10">
        <f t="shared" si="3"/>
        <v>5.6599999999999999E-4</v>
      </c>
    </row>
    <row r="73" spans="1:14" x14ac:dyDescent="0.25">
      <c r="A73" s="35"/>
      <c r="B73" s="37"/>
      <c r="C73" s="3">
        <v>100</v>
      </c>
      <c r="D73" s="8">
        <v>4.4600000000000004E-3</v>
      </c>
      <c r="E73" s="8">
        <v>4.45E-3</v>
      </c>
      <c r="F73" s="8">
        <v>4.3800000000000002E-3</v>
      </c>
      <c r="G73" s="8">
        <v>5.64E-3</v>
      </c>
      <c r="H73" s="8">
        <v>4.4099999999999999E-3</v>
      </c>
      <c r="I73" s="8">
        <v>4.5199999999999997E-3</v>
      </c>
      <c r="J73" s="8">
        <v>4.9300000000000004E-3</v>
      </c>
      <c r="K73" s="8">
        <v>4.3800000000000002E-3</v>
      </c>
      <c r="L73" s="8">
        <v>4.5500000000000002E-3</v>
      </c>
      <c r="M73" s="8">
        <v>5.7499999999999999E-3</v>
      </c>
      <c r="N73" s="26">
        <f t="shared" si="3"/>
        <v>4.3800000000000002E-3</v>
      </c>
    </row>
    <row r="74" spans="1:14" x14ac:dyDescent="0.25">
      <c r="A74" s="35"/>
      <c r="B74" s="37"/>
      <c r="C74" s="3">
        <v>1000</v>
      </c>
      <c r="D74" s="8">
        <v>4.3999999999999997E-2</v>
      </c>
      <c r="E74" s="8">
        <v>4.53E-2</v>
      </c>
      <c r="F74" s="8">
        <v>5.91E-2</v>
      </c>
      <c r="G74" s="8">
        <v>6.0100000000000001E-2</v>
      </c>
      <c r="H74" s="8">
        <v>4.5199999999999997E-2</v>
      </c>
      <c r="I74" s="8">
        <v>5.4100000000000002E-2</v>
      </c>
      <c r="J74" s="8">
        <v>5.5500000000000001E-2</v>
      </c>
      <c r="K74" s="8">
        <v>4.4499999999999998E-2</v>
      </c>
      <c r="L74" s="8">
        <v>4.9399999999999999E-2</v>
      </c>
      <c r="M74" s="8">
        <v>5.0500000000000003E-2</v>
      </c>
      <c r="N74" s="26">
        <f t="shared" si="3"/>
        <v>4.3999999999999997E-2</v>
      </c>
    </row>
    <row r="75" spans="1:14" ht="15.75" thickBot="1" x14ac:dyDescent="0.3">
      <c r="A75" s="35"/>
      <c r="B75" s="38"/>
      <c r="C75" s="4">
        <v>10000</v>
      </c>
      <c r="D75" s="18">
        <v>0.47282469999999999</v>
      </c>
      <c r="E75" s="18">
        <v>0.52147849999999996</v>
      </c>
      <c r="F75" s="18">
        <v>0.51650929999999995</v>
      </c>
      <c r="G75" s="18">
        <v>0.52578959999999997</v>
      </c>
      <c r="H75" s="18">
        <v>0.52004050000000002</v>
      </c>
      <c r="I75" s="18">
        <v>0.52239760000000002</v>
      </c>
      <c r="J75" s="18">
        <v>0.52839340000000001</v>
      </c>
      <c r="K75" s="18">
        <v>0.50379430000000003</v>
      </c>
      <c r="L75" s="18">
        <v>0.54051199999999999</v>
      </c>
      <c r="M75" s="18">
        <v>0.53017800000000004</v>
      </c>
      <c r="N75" s="27">
        <f t="shared" si="3"/>
        <v>0.47282469999999999</v>
      </c>
    </row>
    <row r="76" spans="1:14" x14ac:dyDescent="0.25">
      <c r="A76" s="35"/>
      <c r="B76" s="36">
        <v>1000</v>
      </c>
      <c r="C76" s="2">
        <v>10</v>
      </c>
      <c r="D76" s="9">
        <v>5.3199999999999997E-2</v>
      </c>
      <c r="E76" s="9">
        <v>4.4900000000000002E-2</v>
      </c>
      <c r="F76" s="9">
        <v>3.9600000000000003E-2</v>
      </c>
      <c r="G76" s="9">
        <v>4.3499999999999997E-2</v>
      </c>
      <c r="H76" s="9">
        <v>4.7E-2</v>
      </c>
      <c r="I76" s="9">
        <v>5.45E-2</v>
      </c>
      <c r="J76" s="9">
        <v>7.6700000000000004E-2</v>
      </c>
      <c r="K76" s="9">
        <v>5.0200000000000002E-2</v>
      </c>
      <c r="L76" s="9">
        <v>4.7399999999999998E-2</v>
      </c>
      <c r="M76" s="9">
        <v>4.1399999999999999E-2</v>
      </c>
      <c r="N76" s="10">
        <f t="shared" si="3"/>
        <v>3.9600000000000003E-2</v>
      </c>
    </row>
    <row r="77" spans="1:14" x14ac:dyDescent="0.25">
      <c r="A77" s="35"/>
      <c r="B77" s="37"/>
      <c r="C77" s="3">
        <v>100</v>
      </c>
      <c r="D77" s="8">
        <v>0.44900000000000001</v>
      </c>
      <c r="E77" s="8">
        <v>0.48</v>
      </c>
      <c r="F77" s="8">
        <v>0.45700000000000002</v>
      </c>
      <c r="G77" s="8">
        <v>0.439</v>
      </c>
      <c r="H77" s="8">
        <v>0.51800000000000002</v>
      </c>
      <c r="I77" s="8">
        <v>0.52700000000000002</v>
      </c>
      <c r="J77" s="8">
        <v>0.47599999999999998</v>
      </c>
      <c r="K77" s="8">
        <v>0.46400000000000002</v>
      </c>
      <c r="L77" s="8">
        <v>0.49199999999999999</v>
      </c>
      <c r="M77" s="8">
        <v>0.46700000000000003</v>
      </c>
      <c r="N77" s="26">
        <f t="shared" si="3"/>
        <v>0.439</v>
      </c>
    </row>
    <row r="78" spans="1:14" x14ac:dyDescent="0.25">
      <c r="A78" s="35"/>
      <c r="B78" s="37"/>
      <c r="C78" s="3">
        <v>1000</v>
      </c>
      <c r="D78" s="8">
        <v>4.88</v>
      </c>
      <c r="E78" s="8">
        <v>4.84</v>
      </c>
      <c r="F78" s="8">
        <v>4.7699999999999996</v>
      </c>
      <c r="G78" s="8">
        <v>5.36</v>
      </c>
      <c r="H78" s="8">
        <v>5.67</v>
      </c>
      <c r="I78" s="8">
        <v>5.31</v>
      </c>
      <c r="J78" s="8">
        <v>4.99</v>
      </c>
      <c r="K78" s="8">
        <v>5.1100000000000003</v>
      </c>
      <c r="L78" s="8">
        <v>4.7</v>
      </c>
      <c r="M78" s="8">
        <v>4.8899999999999997</v>
      </c>
      <c r="N78" s="26">
        <f t="shared" si="3"/>
        <v>4.7</v>
      </c>
    </row>
    <row r="79" spans="1:14" ht="15.75" thickBot="1" x14ac:dyDescent="0.3">
      <c r="A79" s="51"/>
      <c r="B79" s="38"/>
      <c r="C79" s="4">
        <v>10000</v>
      </c>
      <c r="D79" s="18">
        <v>48.458269999999999</v>
      </c>
      <c r="E79" s="18">
        <v>47.61927</v>
      </c>
      <c r="F79" s="18">
        <v>47.689770000000003</v>
      </c>
      <c r="G79" s="18">
        <v>47.2729</v>
      </c>
      <c r="H79" s="18">
        <v>47.47533</v>
      </c>
      <c r="I79" s="18">
        <v>47.89481</v>
      </c>
      <c r="J79" s="18">
        <v>47.997779999999999</v>
      </c>
      <c r="K79" s="18">
        <v>47.596179999999997</v>
      </c>
      <c r="L79" s="18">
        <v>48.224319999999999</v>
      </c>
      <c r="M79" s="18">
        <v>51.865639999999999</v>
      </c>
      <c r="N79" s="27">
        <f t="shared" si="3"/>
        <v>47.2729</v>
      </c>
    </row>
    <row r="80" spans="1:14" x14ac:dyDescent="0.25">
      <c r="A80" s="17"/>
      <c r="B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ht="15.75" thickBot="1" x14ac:dyDescent="0.3"/>
    <row r="82" spans="1:14" x14ac:dyDescent="0.25">
      <c r="A82" s="39" t="s">
        <v>6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1"/>
    </row>
    <row r="83" spans="1:14" x14ac:dyDescent="0.25">
      <c r="A83" s="42" t="s">
        <v>1</v>
      </c>
      <c r="B83" s="44" t="s">
        <v>2</v>
      </c>
      <c r="C83" s="44" t="s">
        <v>3</v>
      </c>
      <c r="D83" s="46" t="s">
        <v>17</v>
      </c>
      <c r="E83" s="46"/>
      <c r="F83" s="46"/>
      <c r="G83" s="46"/>
      <c r="H83" s="46"/>
      <c r="I83" s="46"/>
      <c r="J83" s="46"/>
      <c r="K83" s="46"/>
      <c r="L83" s="46"/>
      <c r="M83" s="46"/>
      <c r="N83" s="32" t="s">
        <v>0</v>
      </c>
    </row>
    <row r="84" spans="1:14" ht="15.75" thickBot="1" x14ac:dyDescent="0.3">
      <c r="A84" s="43"/>
      <c r="B84" s="52"/>
      <c r="C84" s="52"/>
      <c r="D84" s="1">
        <v>1</v>
      </c>
      <c r="E84" s="1">
        <v>2</v>
      </c>
      <c r="F84" s="1">
        <v>3</v>
      </c>
      <c r="G84" s="1">
        <v>4</v>
      </c>
      <c r="H84" s="1">
        <v>5</v>
      </c>
      <c r="I84" s="1">
        <v>6</v>
      </c>
      <c r="J84" s="1">
        <v>7</v>
      </c>
      <c r="K84" s="1">
        <v>8</v>
      </c>
      <c r="L84" s="1">
        <v>9</v>
      </c>
      <c r="M84" s="1">
        <v>10</v>
      </c>
      <c r="N84" s="33"/>
    </row>
    <row r="85" spans="1:14" x14ac:dyDescent="0.25">
      <c r="A85" s="34">
        <v>1</v>
      </c>
      <c r="B85" s="36">
        <v>10</v>
      </c>
      <c r="C85" s="2">
        <v>10</v>
      </c>
      <c r="D85" s="9">
        <v>2.0007999999999999E-5</v>
      </c>
      <c r="E85" s="9">
        <v>1.8414999999999999E-5</v>
      </c>
      <c r="F85" s="9">
        <v>1.7543000000000001E-5</v>
      </c>
      <c r="G85" s="9">
        <v>1.7652999999999999E-5</v>
      </c>
      <c r="H85" s="9">
        <v>1.7813999999999999E-5</v>
      </c>
      <c r="I85" s="9">
        <v>1.8213999999999999E-5</v>
      </c>
      <c r="J85" s="9">
        <v>1.7193E-5</v>
      </c>
      <c r="K85" s="9">
        <v>1.7904E-5</v>
      </c>
      <c r="L85" s="9">
        <v>1.7282000000000002E-5</v>
      </c>
      <c r="M85" s="9">
        <v>1.8725000000000001E-5</v>
      </c>
      <c r="N85" s="10">
        <f>MIN(D85:M85)</f>
        <v>1.7193E-5</v>
      </c>
    </row>
    <row r="86" spans="1:14" x14ac:dyDescent="0.25">
      <c r="A86" s="35"/>
      <c r="B86" s="37"/>
      <c r="C86" s="3">
        <v>100</v>
      </c>
      <c r="D86" s="8">
        <v>1.3687700000000001E-4</v>
      </c>
      <c r="E86" s="8">
        <v>1.5554100000000001E-4</v>
      </c>
      <c r="F86" s="8">
        <v>1.5875700000000001E-4</v>
      </c>
      <c r="G86" s="8">
        <v>1.3788799999999999E-4</v>
      </c>
      <c r="H86" s="8">
        <v>1.3865899999999999E-4</v>
      </c>
      <c r="I86" s="8">
        <v>2.12287E-4</v>
      </c>
      <c r="J86" s="8">
        <v>1.4001199999999999E-4</v>
      </c>
      <c r="K86" s="8">
        <v>2.7884200000000001E-4</v>
      </c>
      <c r="L86" s="8">
        <v>2.2277700000000001E-4</v>
      </c>
      <c r="M86" s="8">
        <v>2.2498099999999999E-4</v>
      </c>
      <c r="N86" s="26">
        <f t="shared" ref="N86:N96" si="4">MIN(D86:M86)</f>
        <v>1.3687700000000001E-4</v>
      </c>
    </row>
    <row r="87" spans="1:14" x14ac:dyDescent="0.25">
      <c r="A87" s="35"/>
      <c r="B87" s="37"/>
      <c r="C87" s="3">
        <v>1000</v>
      </c>
      <c r="D87" s="8">
        <v>1.6168669999999999E-3</v>
      </c>
      <c r="E87" s="8">
        <v>1.3669089999999999E-3</v>
      </c>
      <c r="F87" s="8">
        <v>1.356569E-3</v>
      </c>
      <c r="G87" s="8">
        <v>1.4565769999999999E-3</v>
      </c>
      <c r="H87" s="8">
        <v>1.3470509999999999E-3</v>
      </c>
      <c r="I87" s="8">
        <v>1.380945E-3</v>
      </c>
      <c r="J87" s="8">
        <v>1.4449249999999999E-3</v>
      </c>
      <c r="K87" s="8">
        <v>1.5087340000000001E-3</v>
      </c>
      <c r="L87" s="8">
        <v>1.439425E-3</v>
      </c>
      <c r="M87" s="8">
        <v>1.402927E-3</v>
      </c>
      <c r="N87" s="26">
        <f t="shared" si="4"/>
        <v>1.3470509999999999E-3</v>
      </c>
    </row>
    <row r="88" spans="1:14" ht="15.75" thickBot="1" x14ac:dyDescent="0.3">
      <c r="A88" s="35"/>
      <c r="B88" s="38"/>
      <c r="C88" s="4">
        <v>10000</v>
      </c>
      <c r="D88" s="18">
        <v>1.414704E-2</v>
      </c>
      <c r="E88" s="18">
        <v>1.355231E-2</v>
      </c>
      <c r="F88" s="18">
        <v>1.3694110000000001E-2</v>
      </c>
      <c r="G88" s="18">
        <v>1.480764E-2</v>
      </c>
      <c r="H88" s="18">
        <v>1.355513E-2</v>
      </c>
      <c r="I88" s="18">
        <v>1.358155E-2</v>
      </c>
      <c r="J88" s="18">
        <v>1.3617529999999999E-2</v>
      </c>
      <c r="K88" s="18">
        <v>1.3650590000000001E-2</v>
      </c>
      <c r="L88" s="18">
        <v>1.354144E-2</v>
      </c>
      <c r="M88" s="18">
        <v>1.358415E-2</v>
      </c>
      <c r="N88" s="27">
        <f t="shared" si="4"/>
        <v>1.354144E-2</v>
      </c>
    </row>
    <row r="89" spans="1:14" x14ac:dyDescent="0.25">
      <c r="A89" s="35"/>
      <c r="B89" s="36">
        <v>100</v>
      </c>
      <c r="C89" s="2">
        <v>10</v>
      </c>
      <c r="D89" s="9">
        <v>9.7748999999999991E-4</v>
      </c>
      <c r="E89" s="9">
        <v>9.5099099999999999E-4</v>
      </c>
      <c r="F89" s="9">
        <v>9.0744899999999995E-4</v>
      </c>
      <c r="G89" s="9">
        <v>9.0799999999999995E-4</v>
      </c>
      <c r="H89" s="9">
        <v>9.0840099999999998E-4</v>
      </c>
      <c r="I89" s="9">
        <v>9.4435700000000005E-4</v>
      </c>
      <c r="J89" s="9">
        <v>1.042421E-3</v>
      </c>
      <c r="K89" s="9">
        <v>9.5700199999999998E-4</v>
      </c>
      <c r="L89" s="9">
        <v>9.1861000000000004E-4</v>
      </c>
      <c r="M89" s="9">
        <v>9.1969199999999995E-4</v>
      </c>
      <c r="N89" s="10">
        <f t="shared" si="4"/>
        <v>9.0744899999999995E-4</v>
      </c>
    </row>
    <row r="90" spans="1:14" x14ac:dyDescent="0.25">
      <c r="A90" s="35"/>
      <c r="B90" s="37"/>
      <c r="C90" s="3">
        <v>100</v>
      </c>
      <c r="D90" s="8">
        <v>9.5012470000000009E-3</v>
      </c>
      <c r="E90" s="8">
        <v>9.1964860000000002E-3</v>
      </c>
      <c r="F90" s="8">
        <v>9.2752430000000007E-3</v>
      </c>
      <c r="G90" s="8">
        <v>9.4786139999999998E-3</v>
      </c>
      <c r="H90" s="8">
        <v>9.2186170000000001E-3</v>
      </c>
      <c r="I90" s="8">
        <v>9.1517019999999994E-3</v>
      </c>
      <c r="J90" s="8">
        <v>9.1612099999999995E-3</v>
      </c>
      <c r="K90" s="8">
        <v>9.2387849999999994E-3</v>
      </c>
      <c r="L90" s="8">
        <v>9.204271E-3</v>
      </c>
      <c r="M90" s="8">
        <v>9.5834400000000004E-3</v>
      </c>
      <c r="N90" s="26">
        <f t="shared" si="4"/>
        <v>9.1517019999999994E-3</v>
      </c>
    </row>
    <row r="91" spans="1:14" x14ac:dyDescent="0.25">
      <c r="A91" s="35"/>
      <c r="B91" s="37"/>
      <c r="C91" s="3">
        <v>1000</v>
      </c>
      <c r="D91" s="8">
        <v>9.2293799999999995E-2</v>
      </c>
      <c r="E91" s="8">
        <v>9.2544280000000007E-2</v>
      </c>
      <c r="F91" s="8">
        <v>9.4788159999999996E-2</v>
      </c>
      <c r="G91" s="8">
        <v>9.2595940000000002E-2</v>
      </c>
      <c r="H91" s="8">
        <v>9.4596369999999999E-2</v>
      </c>
      <c r="I91" s="8">
        <v>9.3576519999999996E-2</v>
      </c>
      <c r="J91" s="8">
        <v>9.8706580000000002E-2</v>
      </c>
      <c r="K91" s="8">
        <v>9.2256749999999998E-2</v>
      </c>
      <c r="L91" s="8">
        <v>9.292607E-2</v>
      </c>
      <c r="M91" s="8">
        <v>9.1293719999999995E-2</v>
      </c>
      <c r="N91" s="26">
        <f t="shared" si="4"/>
        <v>9.1293719999999995E-2</v>
      </c>
    </row>
    <row r="92" spans="1:14" ht="15.75" thickBot="1" x14ac:dyDescent="0.3">
      <c r="A92" s="35"/>
      <c r="B92" s="38"/>
      <c r="C92" s="4">
        <v>10000</v>
      </c>
      <c r="D92" s="18">
        <v>0.93053589999999997</v>
      </c>
      <c r="E92" s="18">
        <v>0.94008510000000001</v>
      </c>
      <c r="F92" s="18">
        <v>0.94253169999999997</v>
      </c>
      <c r="G92" s="18">
        <v>0.92634490000000003</v>
      </c>
      <c r="H92" s="18">
        <v>0.92490159999999999</v>
      </c>
      <c r="I92" s="18">
        <v>0.93390989999999996</v>
      </c>
      <c r="J92" s="18">
        <v>0.93683059999999996</v>
      </c>
      <c r="K92" s="18">
        <v>0.93930309999999995</v>
      </c>
      <c r="L92" s="18">
        <v>0.92154749999999996</v>
      </c>
      <c r="M92" s="18">
        <v>0.94836109999999996</v>
      </c>
      <c r="N92" s="27">
        <f t="shared" si="4"/>
        <v>0.92154749999999996</v>
      </c>
    </row>
    <row r="93" spans="1:14" x14ac:dyDescent="0.25">
      <c r="A93" s="35"/>
      <c r="B93" s="36">
        <v>1000</v>
      </c>
      <c r="C93" s="2">
        <v>10</v>
      </c>
      <c r="D93" s="9">
        <v>9.0553889999999998E-2</v>
      </c>
      <c r="E93" s="9">
        <v>9.4266630000000004E-2</v>
      </c>
      <c r="F93" s="9">
        <v>9.2320189999999996E-2</v>
      </c>
      <c r="G93" s="9">
        <v>9.2665769999999995E-2</v>
      </c>
      <c r="H93" s="9">
        <v>8.9963180000000004E-2</v>
      </c>
      <c r="I93" s="9">
        <v>9.2086139999999997E-2</v>
      </c>
      <c r="J93" s="9">
        <v>9.2370839999999996E-2</v>
      </c>
      <c r="K93" s="9">
        <v>9.043648E-2</v>
      </c>
      <c r="L93" s="9">
        <v>9.0433169999999993E-2</v>
      </c>
      <c r="M93" s="9">
        <v>9.2906249999999996E-2</v>
      </c>
      <c r="N93" s="10">
        <f t="shared" si="4"/>
        <v>8.9963180000000004E-2</v>
      </c>
    </row>
    <row r="94" spans="1:14" x14ac:dyDescent="0.25">
      <c r="A94" s="35"/>
      <c r="B94" s="37"/>
      <c r="C94" s="3">
        <v>100</v>
      </c>
      <c r="D94" s="8">
        <v>0.90866369999999996</v>
      </c>
      <c r="E94" s="8">
        <v>0.94894880000000004</v>
      </c>
      <c r="F94" s="8">
        <v>0.90865130000000005</v>
      </c>
      <c r="G94" s="8">
        <v>0.91347199999999995</v>
      </c>
      <c r="H94" s="8">
        <v>0.90991750000000005</v>
      </c>
      <c r="I94" s="8">
        <v>0.93493490000000001</v>
      </c>
      <c r="J94" s="8">
        <v>0.92169199999999996</v>
      </c>
      <c r="K94" s="8">
        <v>0.92752809999999997</v>
      </c>
      <c r="L94" s="8">
        <v>0.99920989999999998</v>
      </c>
      <c r="M94" s="8">
        <v>0.93125780000000002</v>
      </c>
      <c r="N94" s="26">
        <f t="shared" si="4"/>
        <v>0.90865130000000005</v>
      </c>
    </row>
    <row r="95" spans="1:14" x14ac:dyDescent="0.25">
      <c r="A95" s="35"/>
      <c r="B95" s="37"/>
      <c r="C95" s="3">
        <v>1000</v>
      </c>
      <c r="D95" s="8">
        <v>9.0675399999999993</v>
      </c>
      <c r="E95" s="8">
        <v>9.1883409999999994</v>
      </c>
      <c r="F95" s="8">
        <v>9.1147919999999996</v>
      </c>
      <c r="G95" s="8">
        <v>9.0688890000000004</v>
      </c>
      <c r="H95" s="8">
        <v>9.1271070000000005</v>
      </c>
      <c r="I95" s="8">
        <v>9.1386959999999995</v>
      </c>
      <c r="J95" s="8">
        <v>9.1597570000000008</v>
      </c>
      <c r="K95" s="8">
        <v>9.1978290000000005</v>
      </c>
      <c r="L95" s="8">
        <v>9.1355939999999993</v>
      </c>
      <c r="M95" s="8">
        <v>9.2932140000000008</v>
      </c>
      <c r="N95" s="26">
        <f t="shared" si="4"/>
        <v>9.0675399999999993</v>
      </c>
    </row>
    <row r="96" spans="1:14" ht="15.75" thickBot="1" x14ac:dyDescent="0.3">
      <c r="A96" s="35"/>
      <c r="B96" s="38"/>
      <c r="C96" s="4">
        <v>10000</v>
      </c>
      <c r="D96" s="18">
        <v>90.49888</v>
      </c>
      <c r="E96" s="18">
        <v>90.909840000000003</v>
      </c>
      <c r="F96" s="18">
        <v>92.537649999999999</v>
      </c>
      <c r="G96" s="18">
        <v>92.597260000000006</v>
      </c>
      <c r="H96" s="18">
        <v>93.060040000000001</v>
      </c>
      <c r="I96" s="18">
        <v>94.414479999999998</v>
      </c>
      <c r="J96" s="18">
        <v>94.948639999999997</v>
      </c>
      <c r="K96" s="18">
        <v>94.577209999999994</v>
      </c>
      <c r="L96" s="18">
        <v>93.500339999999994</v>
      </c>
      <c r="M96" s="18">
        <v>94.073639999999997</v>
      </c>
      <c r="N96" s="27">
        <f t="shared" si="4"/>
        <v>90.49888</v>
      </c>
    </row>
    <row r="97" spans="1:14" x14ac:dyDescent="0.25">
      <c r="A97" s="34">
        <v>2</v>
      </c>
      <c r="B97" s="36">
        <v>10</v>
      </c>
      <c r="C97" s="2">
        <v>10</v>
      </c>
      <c r="D97" s="9">
        <v>1.00498E-4</v>
      </c>
      <c r="E97" s="9">
        <v>1.3472199999999999E-4</v>
      </c>
      <c r="F97" s="9">
        <v>1.20285E-4</v>
      </c>
      <c r="G97" s="9">
        <v>9.2132999999999994E-5</v>
      </c>
      <c r="H97" s="9">
        <v>1.3912000000000001E-4</v>
      </c>
      <c r="I97" s="9">
        <v>1.11418E-4</v>
      </c>
      <c r="J97" s="9">
        <v>7.7554999999999999E-5</v>
      </c>
      <c r="K97" s="9">
        <v>7.4609000000000003E-5</v>
      </c>
      <c r="L97" s="9">
        <v>9.5078E-5</v>
      </c>
      <c r="M97" s="9">
        <v>8.8315999999999999E-5</v>
      </c>
      <c r="N97" s="10">
        <f t="shared" ref="N97:N120" si="5">MIN(D97:M97)</f>
        <v>7.4609000000000003E-5</v>
      </c>
    </row>
    <row r="98" spans="1:14" x14ac:dyDescent="0.25">
      <c r="A98" s="35"/>
      <c r="B98" s="37"/>
      <c r="C98" s="3">
        <v>100</v>
      </c>
      <c r="D98" s="8">
        <v>2.07529E-4</v>
      </c>
      <c r="E98" s="8">
        <v>1.9843199999999999E-4</v>
      </c>
      <c r="F98" s="8">
        <v>2.35982E-4</v>
      </c>
      <c r="G98" s="8">
        <v>2.0191799999999999E-4</v>
      </c>
      <c r="H98" s="8">
        <v>2.7971400000000003E-4</v>
      </c>
      <c r="I98" s="8">
        <v>2.9798800000000001E-4</v>
      </c>
      <c r="J98" s="8">
        <v>2.16145E-4</v>
      </c>
      <c r="K98" s="8">
        <v>3.5001599999999998E-4</v>
      </c>
      <c r="L98" s="8">
        <v>2.5139100000000001E-4</v>
      </c>
      <c r="M98" s="8">
        <v>3.4258200000000002E-4</v>
      </c>
      <c r="N98" s="26">
        <f t="shared" si="5"/>
        <v>1.9843199999999999E-4</v>
      </c>
    </row>
    <row r="99" spans="1:14" x14ac:dyDescent="0.25">
      <c r="A99" s="35"/>
      <c r="B99" s="37"/>
      <c r="C99" s="3">
        <v>1000</v>
      </c>
      <c r="D99" s="8">
        <v>1.324399E-3</v>
      </c>
      <c r="E99" s="8">
        <v>1.569609E-3</v>
      </c>
      <c r="F99" s="8">
        <v>1.369905E-3</v>
      </c>
      <c r="G99" s="8">
        <v>2.347895E-3</v>
      </c>
      <c r="H99" s="8">
        <v>1.295034E-3</v>
      </c>
      <c r="I99" s="8">
        <v>1.6966660000000001E-3</v>
      </c>
      <c r="J99" s="8">
        <v>1.288352E-3</v>
      </c>
      <c r="K99" s="8">
        <v>1.3058849999999999E-3</v>
      </c>
      <c r="L99" s="8">
        <v>1.3136300000000001E-3</v>
      </c>
      <c r="M99" s="8">
        <v>1.3349589999999999E-3</v>
      </c>
      <c r="N99" s="26">
        <f t="shared" si="5"/>
        <v>1.288352E-3</v>
      </c>
    </row>
    <row r="100" spans="1:14" ht="15.75" thickBot="1" x14ac:dyDescent="0.3">
      <c r="A100" s="35"/>
      <c r="B100" s="38"/>
      <c r="C100" s="4">
        <v>10000</v>
      </c>
      <c r="D100" s="18">
        <v>1.341476E-2</v>
      </c>
      <c r="E100" s="18">
        <v>1.323624E-2</v>
      </c>
      <c r="F100" s="18">
        <v>1.3371330000000001E-2</v>
      </c>
      <c r="G100" s="18">
        <v>1.9421879999999999E-2</v>
      </c>
      <c r="H100" s="18">
        <v>1.7275660000000002E-2</v>
      </c>
      <c r="I100" s="18">
        <v>1.6996790000000001E-2</v>
      </c>
      <c r="J100" s="18">
        <v>1.3902579999999999E-2</v>
      </c>
      <c r="K100" s="18">
        <v>1.382424E-2</v>
      </c>
      <c r="L100" s="18">
        <v>1.585483E-2</v>
      </c>
      <c r="M100" s="18">
        <v>1.60901E-2</v>
      </c>
      <c r="N100" s="27">
        <f t="shared" si="5"/>
        <v>1.323624E-2</v>
      </c>
    </row>
    <row r="101" spans="1:14" x14ac:dyDescent="0.25">
      <c r="A101" s="35"/>
      <c r="B101" s="36">
        <v>100</v>
      </c>
      <c r="C101" s="2">
        <v>10</v>
      </c>
      <c r="D101" s="9">
        <v>9.1053399999999995E-4</v>
      </c>
      <c r="E101" s="9">
        <v>8.3713799999999997E-4</v>
      </c>
      <c r="F101" s="9">
        <v>6.9455000000000005E-4</v>
      </c>
      <c r="G101" s="9">
        <v>5.7415500000000002E-4</v>
      </c>
      <c r="H101" s="9">
        <v>6.3701299999999997E-4</v>
      </c>
      <c r="I101" s="9">
        <v>6.1858799999999999E-4</v>
      </c>
      <c r="J101" s="9">
        <v>5.3554199999999996E-4</v>
      </c>
      <c r="K101" s="9">
        <v>5.73183E-4</v>
      </c>
      <c r="L101" s="9">
        <v>5.2686699999999998E-4</v>
      </c>
      <c r="M101" s="9">
        <v>5.5985799999999999E-4</v>
      </c>
      <c r="N101" s="10">
        <f t="shared" si="5"/>
        <v>5.2686699999999998E-4</v>
      </c>
    </row>
    <row r="102" spans="1:14" x14ac:dyDescent="0.25">
      <c r="A102" s="35"/>
      <c r="B102" s="37"/>
      <c r="C102" s="3">
        <v>100</v>
      </c>
      <c r="D102" s="8">
        <v>4.7396219999999998E-3</v>
      </c>
      <c r="E102" s="8">
        <v>6.1974420000000001E-3</v>
      </c>
      <c r="F102" s="8">
        <v>4.7913900000000004E-3</v>
      </c>
      <c r="G102" s="8">
        <v>4.7581469999999999E-3</v>
      </c>
      <c r="H102" s="8">
        <v>5.2351610000000003E-3</v>
      </c>
      <c r="I102" s="8">
        <v>8.6621660000000007E-3</v>
      </c>
      <c r="J102" s="8">
        <v>4.9114340000000001E-3</v>
      </c>
      <c r="K102" s="8">
        <v>5.7032059999999997E-3</v>
      </c>
      <c r="L102" s="8">
        <v>6.5619240000000002E-3</v>
      </c>
      <c r="M102" s="8">
        <v>5.1909879999999997E-3</v>
      </c>
      <c r="N102" s="26">
        <f t="shared" si="5"/>
        <v>4.7396219999999998E-3</v>
      </c>
    </row>
    <row r="103" spans="1:14" x14ac:dyDescent="0.25">
      <c r="A103" s="35"/>
      <c r="B103" s="37"/>
      <c r="C103" s="3">
        <v>1000</v>
      </c>
      <c r="D103" s="8">
        <v>5.5908159999999998E-2</v>
      </c>
      <c r="E103" s="8">
        <v>4.8389479999999999E-2</v>
      </c>
      <c r="F103" s="8">
        <v>5.2106230000000003E-2</v>
      </c>
      <c r="G103" s="8">
        <v>5.9229270000000001E-2</v>
      </c>
      <c r="H103" s="8">
        <v>4.9932270000000001E-2</v>
      </c>
      <c r="I103" s="8">
        <v>4.8824880000000001E-2</v>
      </c>
      <c r="J103" s="8">
        <v>5.3098020000000003E-2</v>
      </c>
      <c r="K103" s="8">
        <v>4.7373659999999998E-2</v>
      </c>
      <c r="L103" s="8">
        <v>5.0587649999999998E-2</v>
      </c>
      <c r="M103" s="8">
        <v>4.6814000000000001E-2</v>
      </c>
      <c r="N103" s="26">
        <f t="shared" si="5"/>
        <v>4.6814000000000001E-2</v>
      </c>
    </row>
    <row r="104" spans="1:14" ht="15.75" thickBot="1" x14ac:dyDescent="0.3">
      <c r="A104" s="35"/>
      <c r="B104" s="38"/>
      <c r="C104" s="4">
        <v>10000</v>
      </c>
      <c r="D104" s="18">
        <v>0.54303820000000003</v>
      </c>
      <c r="E104" s="18">
        <v>0.53971590000000003</v>
      </c>
      <c r="F104" s="18">
        <v>0.57956700000000005</v>
      </c>
      <c r="G104" s="18">
        <v>0.54443810000000004</v>
      </c>
      <c r="H104" s="18">
        <v>0.53601430000000005</v>
      </c>
      <c r="I104" s="18">
        <v>0.5292616</v>
      </c>
      <c r="J104" s="18">
        <v>0.57164029999999999</v>
      </c>
      <c r="K104" s="18">
        <v>0.52691840000000001</v>
      </c>
      <c r="L104" s="18">
        <v>0.51444630000000002</v>
      </c>
      <c r="M104" s="18">
        <v>0.52144809999999997</v>
      </c>
      <c r="N104" s="27">
        <f t="shared" si="5"/>
        <v>0.51444630000000002</v>
      </c>
    </row>
    <row r="105" spans="1:14" x14ac:dyDescent="0.25">
      <c r="A105" s="35"/>
      <c r="B105" s="36">
        <v>1000</v>
      </c>
      <c r="C105" s="2">
        <v>10</v>
      </c>
      <c r="D105" s="9">
        <v>4.6645989999999998E-2</v>
      </c>
      <c r="E105" s="9">
        <v>4.5371309999999998E-2</v>
      </c>
      <c r="F105" s="9">
        <v>4.6514710000000001E-2</v>
      </c>
      <c r="G105" s="9">
        <v>4.5009300000000002E-2</v>
      </c>
      <c r="H105" s="9">
        <v>4.6097279999999997E-2</v>
      </c>
      <c r="I105" s="9">
        <v>4.4872290000000002E-2</v>
      </c>
      <c r="J105" s="9">
        <v>4.9203330000000003E-2</v>
      </c>
      <c r="K105" s="9">
        <v>5.8538050000000001E-2</v>
      </c>
      <c r="L105" s="9">
        <v>4.8228359999999998E-2</v>
      </c>
      <c r="M105" s="9">
        <v>4.6906389999999999E-2</v>
      </c>
      <c r="N105" s="10">
        <f t="shared" si="5"/>
        <v>4.4872290000000002E-2</v>
      </c>
    </row>
    <row r="106" spans="1:14" x14ac:dyDescent="0.25">
      <c r="A106" s="35"/>
      <c r="B106" s="37"/>
      <c r="C106" s="3">
        <v>100</v>
      </c>
      <c r="D106" s="8">
        <v>0.48513060000000002</v>
      </c>
      <c r="E106" s="8">
        <v>0.4731995</v>
      </c>
      <c r="F106" s="8">
        <v>0.46259549999999999</v>
      </c>
      <c r="G106" s="8">
        <v>0.52780170000000004</v>
      </c>
      <c r="H106" s="8">
        <v>0.4814157</v>
      </c>
      <c r="I106" s="8">
        <v>0.50845819999999997</v>
      </c>
      <c r="J106" s="8">
        <v>0.49931340000000002</v>
      </c>
      <c r="K106" s="8">
        <v>0.54739990000000005</v>
      </c>
      <c r="L106" s="8">
        <v>0.54213339999999999</v>
      </c>
      <c r="M106" s="8">
        <v>0.48973990000000001</v>
      </c>
      <c r="N106" s="26">
        <f t="shared" si="5"/>
        <v>0.46259549999999999</v>
      </c>
    </row>
    <row r="107" spans="1:14" x14ac:dyDescent="0.25">
      <c r="A107" s="35"/>
      <c r="B107" s="37"/>
      <c r="C107" s="3">
        <v>1000</v>
      </c>
      <c r="D107" s="8">
        <v>5.0135610000000002</v>
      </c>
      <c r="E107" s="8">
        <v>5.0142990000000003</v>
      </c>
      <c r="F107" s="8">
        <v>4.8447800000000001</v>
      </c>
      <c r="G107" s="8">
        <v>4.9446779999999997</v>
      </c>
      <c r="H107" s="8">
        <v>4.9557640000000003</v>
      </c>
      <c r="I107" s="8">
        <v>4.9370839999999996</v>
      </c>
      <c r="J107" s="8">
        <v>4.8016569999999996</v>
      </c>
      <c r="K107" s="8">
        <v>4.9605319999999997</v>
      </c>
      <c r="L107" s="8">
        <v>4.9359830000000002</v>
      </c>
      <c r="M107" s="8">
        <v>4.971832</v>
      </c>
      <c r="N107" s="26">
        <f t="shared" si="5"/>
        <v>4.8016569999999996</v>
      </c>
    </row>
    <row r="108" spans="1:14" ht="15.75" thickBot="1" x14ac:dyDescent="0.3">
      <c r="A108" s="35"/>
      <c r="B108" s="38"/>
      <c r="C108" s="4">
        <v>10000</v>
      </c>
      <c r="D108" s="18">
        <v>52.056330000000003</v>
      </c>
      <c r="E108" s="18">
        <v>50.898519999999998</v>
      </c>
      <c r="F108" s="18">
        <v>51.856589999999997</v>
      </c>
      <c r="G108" s="18">
        <v>50.64819</v>
      </c>
      <c r="H108" s="18">
        <v>51.500990000000002</v>
      </c>
      <c r="I108" s="18">
        <v>49.875419999999998</v>
      </c>
      <c r="J108" s="18">
        <v>50.475760000000001</v>
      </c>
      <c r="K108" s="18">
        <v>49.964790000000001</v>
      </c>
      <c r="L108" s="18">
        <v>49.94603</v>
      </c>
      <c r="M108" s="18">
        <v>53.884050000000002</v>
      </c>
      <c r="N108" s="27">
        <f t="shared" si="5"/>
        <v>49.875419999999998</v>
      </c>
    </row>
    <row r="109" spans="1:14" x14ac:dyDescent="0.25">
      <c r="A109" s="34">
        <v>4</v>
      </c>
      <c r="B109" s="36">
        <v>10</v>
      </c>
      <c r="C109" s="2">
        <v>10</v>
      </c>
      <c r="D109" s="9">
        <v>1.8173000000000001E-4</v>
      </c>
      <c r="E109" s="9">
        <v>1.73695E-4</v>
      </c>
      <c r="F109" s="9">
        <v>1.95496E-4</v>
      </c>
      <c r="G109" s="9">
        <v>1.8269200000000001E-4</v>
      </c>
      <c r="H109" s="9">
        <v>1.8443499999999999E-4</v>
      </c>
      <c r="I109" s="9">
        <v>1.6920600000000001E-4</v>
      </c>
      <c r="J109" s="9">
        <v>1.7407600000000001E-4</v>
      </c>
      <c r="K109" s="9">
        <v>1.66522E-4</v>
      </c>
      <c r="L109" s="9">
        <v>1.8227200000000001E-4</v>
      </c>
      <c r="M109" s="9">
        <v>1.5259599999999999E-4</v>
      </c>
      <c r="N109" s="10">
        <f t="shared" si="5"/>
        <v>1.5259599999999999E-4</v>
      </c>
    </row>
    <row r="110" spans="1:14" x14ac:dyDescent="0.25">
      <c r="A110" s="35"/>
      <c r="B110" s="37"/>
      <c r="C110" s="3">
        <v>100</v>
      </c>
      <c r="D110" s="8">
        <v>4.3855100000000002E-4</v>
      </c>
      <c r="E110" s="8">
        <v>4.29133E-4</v>
      </c>
      <c r="F110" s="8">
        <v>3.6880099999999998E-4</v>
      </c>
      <c r="G110" s="8">
        <v>4.28341E-4</v>
      </c>
      <c r="H110" s="8">
        <v>3.8196500000000001E-4</v>
      </c>
      <c r="I110" s="8">
        <v>3.5458400000000002E-4</v>
      </c>
      <c r="J110" s="8">
        <v>5.3923899999999995E-4</v>
      </c>
      <c r="K110" s="8">
        <v>3.7927000000000002E-4</v>
      </c>
      <c r="L110" s="8">
        <v>4.8972700000000002E-4</v>
      </c>
      <c r="M110" s="8">
        <v>4.1982599999999999E-4</v>
      </c>
      <c r="N110" s="26">
        <f t="shared" si="5"/>
        <v>3.5458400000000002E-4</v>
      </c>
    </row>
    <row r="111" spans="1:14" x14ac:dyDescent="0.25">
      <c r="A111" s="35"/>
      <c r="B111" s="37"/>
      <c r="C111" s="3">
        <v>1000</v>
      </c>
      <c r="D111" s="8">
        <v>2.4804029999999999E-3</v>
      </c>
      <c r="E111" s="8">
        <v>2.3061969999999998E-3</v>
      </c>
      <c r="F111" s="8">
        <v>2.4187879999999998E-3</v>
      </c>
      <c r="G111" s="8">
        <v>2.456218E-3</v>
      </c>
      <c r="H111" s="8">
        <v>2.63897E-3</v>
      </c>
      <c r="I111" s="8">
        <v>2.53206E-3</v>
      </c>
      <c r="J111" s="8">
        <v>2.4541340000000002E-3</v>
      </c>
      <c r="K111" s="8">
        <v>2.4901820000000001E-3</v>
      </c>
      <c r="L111" s="8">
        <v>2.373273E-3</v>
      </c>
      <c r="M111" s="8">
        <v>2.5775749999999999E-3</v>
      </c>
      <c r="N111" s="26">
        <f t="shared" si="5"/>
        <v>2.3061969999999998E-3</v>
      </c>
    </row>
    <row r="112" spans="1:14" ht="15.75" thickBot="1" x14ac:dyDescent="0.3">
      <c r="A112" s="35"/>
      <c r="B112" s="38"/>
      <c r="C112" s="4">
        <v>10000</v>
      </c>
      <c r="D112" s="18">
        <v>2.3173490000000001E-2</v>
      </c>
      <c r="E112" s="18">
        <v>2.4020699999999999E-2</v>
      </c>
      <c r="F112" s="18">
        <v>4.9572739999999997E-2</v>
      </c>
      <c r="G112" s="18">
        <v>2.5678779999999998E-2</v>
      </c>
      <c r="H112" s="18">
        <v>2.340277E-2</v>
      </c>
      <c r="I112" s="18">
        <v>2.426532E-2</v>
      </c>
      <c r="J112" s="18">
        <v>2.2932939999999999E-2</v>
      </c>
      <c r="K112" s="18">
        <v>2.4035129999999998E-2</v>
      </c>
      <c r="L112" s="18">
        <v>2.3337360000000001E-2</v>
      </c>
      <c r="M112" s="18">
        <v>2.3805219999999998E-2</v>
      </c>
      <c r="N112" s="27">
        <f t="shared" si="5"/>
        <v>2.2932939999999999E-2</v>
      </c>
    </row>
    <row r="113" spans="1:14" x14ac:dyDescent="0.25">
      <c r="A113" s="35"/>
      <c r="B113" s="36">
        <v>100</v>
      </c>
      <c r="C113" s="2">
        <v>10</v>
      </c>
      <c r="D113" s="9">
        <v>6.7709699999999999E-4</v>
      </c>
      <c r="E113" s="9">
        <v>7.1403600000000003E-4</v>
      </c>
      <c r="F113" s="9">
        <v>6.8814799999999997E-4</v>
      </c>
      <c r="G113" s="9">
        <v>4.3689800000000002E-4</v>
      </c>
      <c r="H113" s="9">
        <v>7.1628100000000004E-4</v>
      </c>
      <c r="I113" s="9">
        <v>4.7486799999999998E-4</v>
      </c>
      <c r="J113" s="9">
        <v>4.3566500000000001E-4</v>
      </c>
      <c r="K113" s="9">
        <v>4.2529599999999997E-4</v>
      </c>
      <c r="L113" s="9">
        <v>6.5929499999999995E-4</v>
      </c>
      <c r="M113" s="9">
        <v>4.2355300000000002E-4</v>
      </c>
      <c r="N113" s="10">
        <f t="shared" si="5"/>
        <v>4.2355300000000002E-4</v>
      </c>
    </row>
    <row r="114" spans="1:14" x14ac:dyDescent="0.25">
      <c r="A114" s="35"/>
      <c r="B114" s="37"/>
      <c r="C114" s="3">
        <v>100</v>
      </c>
      <c r="D114" s="8">
        <v>4.4634560000000002E-3</v>
      </c>
      <c r="E114" s="8">
        <v>2.8544040000000001E-3</v>
      </c>
      <c r="F114" s="8">
        <v>3.2968110000000002E-3</v>
      </c>
      <c r="G114" s="8">
        <v>3.4831200000000001E-3</v>
      </c>
      <c r="H114" s="8">
        <v>2.899488E-3</v>
      </c>
      <c r="I114" s="8">
        <v>3.510722E-3</v>
      </c>
      <c r="J114" s="8">
        <v>2.882707E-3</v>
      </c>
      <c r="K114" s="8">
        <v>4.6592120000000002E-3</v>
      </c>
      <c r="L114" s="8">
        <v>2.9001589999999998E-3</v>
      </c>
      <c r="M114" s="8">
        <v>3.081178E-3</v>
      </c>
      <c r="N114" s="26">
        <f t="shared" si="5"/>
        <v>2.8544040000000001E-3</v>
      </c>
    </row>
    <row r="115" spans="1:14" x14ac:dyDescent="0.25">
      <c r="A115" s="35"/>
      <c r="B115" s="37"/>
      <c r="C115" s="3">
        <v>1000</v>
      </c>
      <c r="D115" s="8">
        <v>4.0084740000000001E-2</v>
      </c>
      <c r="E115" s="8">
        <v>2.8227639999999998E-2</v>
      </c>
      <c r="F115" s="8">
        <v>3.6013589999999998E-2</v>
      </c>
      <c r="G115" s="8">
        <v>2.7687139999999999E-2</v>
      </c>
      <c r="H115" s="8">
        <v>4.498315E-2</v>
      </c>
      <c r="I115" s="8">
        <v>3.4138479999999999E-2</v>
      </c>
      <c r="J115" s="8">
        <v>2.9305290000000001E-2</v>
      </c>
      <c r="K115" s="8">
        <v>3.6952270000000002E-2</v>
      </c>
      <c r="L115" s="8">
        <v>3.2925740000000002E-2</v>
      </c>
      <c r="M115" s="8">
        <v>3.9782339999999999E-2</v>
      </c>
      <c r="N115" s="26">
        <f t="shared" si="5"/>
        <v>2.7687139999999999E-2</v>
      </c>
    </row>
    <row r="116" spans="1:14" ht="15.75" thickBot="1" x14ac:dyDescent="0.3">
      <c r="A116" s="35"/>
      <c r="B116" s="38"/>
      <c r="C116" s="4">
        <v>10000</v>
      </c>
      <c r="D116" s="18">
        <v>0.4036998</v>
      </c>
      <c r="E116" s="18">
        <v>0.38287339999999997</v>
      </c>
      <c r="F116" s="18">
        <v>0.38879710000000001</v>
      </c>
      <c r="G116" s="18">
        <v>0.37169550000000001</v>
      </c>
      <c r="H116" s="18">
        <v>0.36776959999999997</v>
      </c>
      <c r="I116" s="18">
        <v>0.39877000000000001</v>
      </c>
      <c r="J116" s="18">
        <v>0.37945030000000002</v>
      </c>
      <c r="K116" s="18">
        <v>0.40766910000000001</v>
      </c>
      <c r="L116" s="18">
        <v>0.37692569999999997</v>
      </c>
      <c r="M116" s="18">
        <v>0.3902677</v>
      </c>
      <c r="N116" s="27">
        <f t="shared" si="5"/>
        <v>0.36776959999999997</v>
      </c>
    </row>
    <row r="117" spans="1:14" x14ac:dyDescent="0.25">
      <c r="A117" s="35"/>
      <c r="B117" s="36">
        <v>1000</v>
      </c>
      <c r="C117" s="2">
        <v>10</v>
      </c>
      <c r="D117" s="9">
        <v>4.0002259999999998E-2</v>
      </c>
      <c r="E117" s="9">
        <v>2.349045E-2</v>
      </c>
      <c r="F117" s="9">
        <v>2.438947E-2</v>
      </c>
      <c r="G117" s="9">
        <v>2.2790310000000001E-2</v>
      </c>
      <c r="H117" s="9">
        <v>3.0183999999999999E-2</v>
      </c>
      <c r="I117" s="9">
        <v>3.6208980000000002E-2</v>
      </c>
      <c r="J117" s="9">
        <v>2.9073100000000001E-2</v>
      </c>
      <c r="K117" s="9">
        <v>2.7326960000000001E-2</v>
      </c>
      <c r="L117" s="9">
        <v>2.35152E-2</v>
      </c>
      <c r="M117" s="9">
        <v>2.554116E-2</v>
      </c>
      <c r="N117" s="10">
        <f t="shared" si="5"/>
        <v>2.2790310000000001E-2</v>
      </c>
    </row>
    <row r="118" spans="1:14" x14ac:dyDescent="0.25">
      <c r="A118" s="35"/>
      <c r="B118" s="37"/>
      <c r="C118" s="3">
        <v>100</v>
      </c>
      <c r="D118" s="8">
        <v>0.36068090000000003</v>
      </c>
      <c r="E118" s="8">
        <v>0.32809949999999999</v>
      </c>
      <c r="F118" s="8">
        <v>0.33829120000000001</v>
      </c>
      <c r="G118" s="8">
        <v>0.37624679999999999</v>
      </c>
      <c r="H118" s="8">
        <v>0.32902379999999998</v>
      </c>
      <c r="I118" s="8">
        <v>0.33284039999999998</v>
      </c>
      <c r="J118" s="8">
        <v>0.29350009999999999</v>
      </c>
      <c r="K118" s="8">
        <v>0.27514329999999998</v>
      </c>
      <c r="L118" s="8">
        <v>0.29137069999999998</v>
      </c>
      <c r="M118" s="8">
        <v>0.36311690000000002</v>
      </c>
      <c r="N118" s="26">
        <f t="shared" si="5"/>
        <v>0.27514329999999998</v>
      </c>
    </row>
    <row r="119" spans="1:14" ht="15" customHeight="1" x14ac:dyDescent="0.25">
      <c r="A119" s="35"/>
      <c r="B119" s="37"/>
      <c r="C119" s="3">
        <v>1000</v>
      </c>
      <c r="D119" s="8">
        <v>3.286486</v>
      </c>
      <c r="E119" s="8">
        <v>3.4193030000000002</v>
      </c>
      <c r="F119" s="8">
        <v>3.1951700000000001</v>
      </c>
      <c r="G119" s="8">
        <v>3.3190729999999999</v>
      </c>
      <c r="H119" s="8">
        <v>3.4415490000000002</v>
      </c>
      <c r="I119" s="8">
        <v>3.4717790000000002</v>
      </c>
      <c r="J119" s="8">
        <v>3.3010769999999998</v>
      </c>
      <c r="K119" s="8">
        <v>3.4808650000000001</v>
      </c>
      <c r="L119" s="8">
        <v>3.4387810000000001</v>
      </c>
      <c r="M119" s="8">
        <v>3.3289360000000001</v>
      </c>
      <c r="N119" s="26">
        <f t="shared" si="5"/>
        <v>3.1951700000000001</v>
      </c>
    </row>
    <row r="120" spans="1:14" ht="15.75" thickBot="1" x14ac:dyDescent="0.3">
      <c r="A120" s="51"/>
      <c r="B120" s="38"/>
      <c r="C120" s="4">
        <v>10000</v>
      </c>
      <c r="D120" s="18">
        <v>34.431350000000002</v>
      </c>
      <c r="E120" s="18">
        <v>34.314010000000003</v>
      </c>
      <c r="F120" s="18">
        <v>34.497970000000002</v>
      </c>
      <c r="G120" s="18">
        <v>34.430500000000002</v>
      </c>
      <c r="H120" s="18">
        <v>34.554340000000003</v>
      </c>
      <c r="I120" s="18">
        <v>37.620310000000003</v>
      </c>
      <c r="J120" s="18">
        <v>34.197180000000003</v>
      </c>
      <c r="K120" s="18">
        <v>34.230539999999998</v>
      </c>
      <c r="L120" s="18">
        <v>35.762509999999999</v>
      </c>
      <c r="M120" s="18">
        <v>34.794739999999997</v>
      </c>
      <c r="N120" s="27">
        <f t="shared" si="5"/>
        <v>34.197180000000003</v>
      </c>
    </row>
    <row r="121" spans="1:14" ht="15.75" thickBot="1" x14ac:dyDescent="0.3"/>
    <row r="122" spans="1:14" x14ac:dyDescent="0.25">
      <c r="A122" s="39" t="s">
        <v>7</v>
      </c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1"/>
    </row>
    <row r="123" spans="1:14" x14ac:dyDescent="0.25">
      <c r="A123" s="42" t="s">
        <v>1</v>
      </c>
      <c r="B123" s="44" t="s">
        <v>2</v>
      </c>
      <c r="C123" s="44" t="s">
        <v>3</v>
      </c>
      <c r="D123" s="48" t="s">
        <v>17</v>
      </c>
      <c r="E123" s="49"/>
      <c r="F123" s="49"/>
      <c r="G123" s="49"/>
      <c r="H123" s="49"/>
      <c r="I123" s="49"/>
      <c r="J123" s="49"/>
      <c r="K123" s="49"/>
      <c r="L123" s="49"/>
      <c r="M123" s="50"/>
      <c r="N123" s="32" t="s">
        <v>0</v>
      </c>
    </row>
    <row r="124" spans="1:14" ht="15.75" thickBot="1" x14ac:dyDescent="0.3">
      <c r="A124" s="43"/>
      <c r="B124" s="52"/>
      <c r="C124" s="52"/>
      <c r="D124" s="1">
        <v>1</v>
      </c>
      <c r="E124" s="1">
        <v>2</v>
      </c>
      <c r="F124" s="1">
        <v>3</v>
      </c>
      <c r="G124" s="1">
        <v>4</v>
      </c>
      <c r="H124" s="1">
        <v>5</v>
      </c>
      <c r="I124" s="1">
        <v>6</v>
      </c>
      <c r="J124" s="1">
        <v>7</v>
      </c>
      <c r="K124" s="1">
        <v>8</v>
      </c>
      <c r="L124" s="1">
        <v>9</v>
      </c>
      <c r="M124" s="1">
        <v>10</v>
      </c>
      <c r="N124" s="33"/>
    </row>
    <row r="125" spans="1:14" x14ac:dyDescent="0.25">
      <c r="A125" s="34">
        <v>1</v>
      </c>
      <c r="B125" s="36">
        <v>10</v>
      </c>
      <c r="C125" s="2">
        <v>10</v>
      </c>
      <c r="D125" s="9">
        <v>1.9055999999999998E-5</v>
      </c>
      <c r="E125" s="9">
        <v>1.7972999999999999E-5</v>
      </c>
      <c r="F125" s="9">
        <v>1.7762999999999999E-5</v>
      </c>
      <c r="G125" s="9">
        <v>1.8525E-5</v>
      </c>
      <c r="H125" s="9">
        <v>1.9627E-5</v>
      </c>
      <c r="I125" s="9">
        <v>1.7393000000000001E-5</v>
      </c>
      <c r="J125" s="9">
        <v>1.8063E-5</v>
      </c>
      <c r="K125" s="9">
        <v>1.7493E-5</v>
      </c>
      <c r="L125" s="9">
        <v>1.8114E-5</v>
      </c>
      <c r="M125" s="9">
        <v>1.7934000000000001E-5</v>
      </c>
      <c r="N125" s="10">
        <f>MIN(D125:M125)</f>
        <v>1.7393000000000001E-5</v>
      </c>
    </row>
    <row r="126" spans="1:14" x14ac:dyDescent="0.25">
      <c r="A126" s="35"/>
      <c r="B126" s="37"/>
      <c r="C126" s="3">
        <v>100</v>
      </c>
      <c r="D126" s="8">
        <v>1.93833E-4</v>
      </c>
      <c r="E126" s="8">
        <v>1.3885899999999999E-4</v>
      </c>
      <c r="F126" s="8">
        <v>1.3901000000000001E-4</v>
      </c>
      <c r="G126" s="8">
        <v>1.3646599999999999E-4</v>
      </c>
      <c r="H126" s="8">
        <v>1.4087299999999999E-4</v>
      </c>
      <c r="I126" s="8">
        <v>1.4087400000000001E-4</v>
      </c>
      <c r="J126" s="8">
        <v>1.3709599999999999E-4</v>
      </c>
      <c r="K126" s="8">
        <v>2.12778E-4</v>
      </c>
      <c r="L126" s="8">
        <v>1.3897099999999999E-4</v>
      </c>
      <c r="M126" s="8">
        <v>1.37818E-4</v>
      </c>
      <c r="N126" s="26">
        <f t="shared" ref="N126:N136" si="6">MIN(D126:M126)</f>
        <v>1.3646599999999999E-4</v>
      </c>
    </row>
    <row r="127" spans="1:14" x14ac:dyDescent="0.25">
      <c r="A127" s="35"/>
      <c r="B127" s="37"/>
      <c r="C127" s="3">
        <v>1000</v>
      </c>
      <c r="D127" s="8">
        <v>1.3579519999999999E-3</v>
      </c>
      <c r="E127" s="8">
        <v>1.408096E-3</v>
      </c>
      <c r="F127" s="8">
        <v>1.3790619999999999E-3</v>
      </c>
      <c r="G127" s="8">
        <v>1.3635229999999999E-3</v>
      </c>
      <c r="H127" s="8">
        <v>1.36239E-3</v>
      </c>
      <c r="I127" s="8">
        <v>1.3550159999999999E-3</v>
      </c>
      <c r="J127" s="8">
        <v>1.819626E-3</v>
      </c>
      <c r="K127" s="8">
        <v>1.380605E-3</v>
      </c>
      <c r="L127" s="8">
        <v>1.496481E-3</v>
      </c>
      <c r="M127" s="8">
        <v>1.4840280000000001E-3</v>
      </c>
      <c r="N127" s="26">
        <f t="shared" si="6"/>
        <v>1.3550159999999999E-3</v>
      </c>
    </row>
    <row r="128" spans="1:14" ht="15.75" thickBot="1" x14ac:dyDescent="0.3">
      <c r="A128" s="35"/>
      <c r="B128" s="38"/>
      <c r="C128" s="4">
        <v>10000</v>
      </c>
      <c r="D128" s="18">
        <v>1.452988E-2</v>
      </c>
      <c r="E128" s="18">
        <v>1.3961930000000001E-2</v>
      </c>
      <c r="F128" s="18">
        <v>1.358168E-2</v>
      </c>
      <c r="G128" s="18">
        <v>1.354079E-2</v>
      </c>
      <c r="H128" s="18">
        <v>1.3693459999999999E-2</v>
      </c>
      <c r="I128" s="18">
        <v>1.3709570000000001E-2</v>
      </c>
      <c r="J128" s="18">
        <v>1.375966E-2</v>
      </c>
      <c r="K128" s="18">
        <v>1.754847E-2</v>
      </c>
      <c r="L128" s="18">
        <v>1.359574E-2</v>
      </c>
      <c r="M128" s="18">
        <v>1.3537860000000001E-2</v>
      </c>
      <c r="N128" s="27">
        <f t="shared" si="6"/>
        <v>1.3537860000000001E-2</v>
      </c>
    </row>
    <row r="129" spans="1:14" x14ac:dyDescent="0.25">
      <c r="A129" s="35"/>
      <c r="B129" s="36">
        <v>100</v>
      </c>
      <c r="C129" s="2">
        <v>10</v>
      </c>
      <c r="D129" s="9">
        <v>9.1011300000000005E-4</v>
      </c>
      <c r="E129" s="9">
        <v>9.1037400000000004E-4</v>
      </c>
      <c r="F129" s="9">
        <v>1.045046E-3</v>
      </c>
      <c r="G129" s="9">
        <v>9.5805300000000005E-4</v>
      </c>
      <c r="H129" s="9">
        <v>9.0223899999999999E-4</v>
      </c>
      <c r="I129" s="9">
        <v>9.0741900000000002E-4</v>
      </c>
      <c r="J129" s="9">
        <v>9.06867E-4</v>
      </c>
      <c r="K129" s="9">
        <v>9.0650699999999997E-4</v>
      </c>
      <c r="L129" s="9">
        <v>9.0157799999999999E-4</v>
      </c>
      <c r="M129" s="9">
        <v>9.0713800000000004E-4</v>
      </c>
      <c r="N129" s="10">
        <f t="shared" si="6"/>
        <v>9.0157799999999999E-4</v>
      </c>
    </row>
    <row r="130" spans="1:14" x14ac:dyDescent="0.25">
      <c r="A130" s="35"/>
      <c r="B130" s="37"/>
      <c r="C130" s="3">
        <v>100</v>
      </c>
      <c r="D130" s="8">
        <v>9.0919499999999997E-3</v>
      </c>
      <c r="E130" s="8">
        <v>9.1042729999999995E-3</v>
      </c>
      <c r="F130" s="8">
        <v>9.0883530000000004E-3</v>
      </c>
      <c r="G130" s="8">
        <v>9.1075189999999997E-3</v>
      </c>
      <c r="H130" s="8">
        <v>1.027922E-2</v>
      </c>
      <c r="I130" s="8">
        <v>9.1325659999999999E-3</v>
      </c>
      <c r="J130" s="8">
        <v>9.1337180000000007E-3</v>
      </c>
      <c r="K130" s="8">
        <v>9.3431299999999998E-3</v>
      </c>
      <c r="L130" s="8">
        <v>9.9830679999999995E-3</v>
      </c>
      <c r="M130" s="8">
        <v>9.1304320000000008E-3</v>
      </c>
      <c r="N130" s="26">
        <f t="shared" si="6"/>
        <v>9.0883530000000004E-3</v>
      </c>
    </row>
    <row r="131" spans="1:14" x14ac:dyDescent="0.25">
      <c r="A131" s="35"/>
      <c r="B131" s="37"/>
      <c r="C131" s="3">
        <v>1000</v>
      </c>
      <c r="D131" s="8">
        <v>9.1359750000000003E-2</v>
      </c>
      <c r="E131" s="8">
        <v>9.5642660000000004E-2</v>
      </c>
      <c r="F131" s="8">
        <v>9.2474360000000005E-2</v>
      </c>
      <c r="G131" s="8">
        <v>9.2304940000000002E-2</v>
      </c>
      <c r="H131" s="8">
        <v>9.289393E-2</v>
      </c>
      <c r="I131" s="8">
        <v>9.0959659999999998E-2</v>
      </c>
      <c r="J131" s="8">
        <v>9.2433710000000002E-2</v>
      </c>
      <c r="K131" s="8">
        <v>9.3210879999999996E-2</v>
      </c>
      <c r="L131" s="8">
        <v>9.1532619999999995E-2</v>
      </c>
      <c r="M131" s="8">
        <v>9.5156489999999996E-2</v>
      </c>
      <c r="N131" s="26">
        <f t="shared" si="6"/>
        <v>9.0959659999999998E-2</v>
      </c>
    </row>
    <row r="132" spans="1:14" ht="15.75" thickBot="1" x14ac:dyDescent="0.3">
      <c r="A132" s="35"/>
      <c r="B132" s="38"/>
      <c r="C132" s="4">
        <v>10000</v>
      </c>
      <c r="D132" s="18">
        <v>0.92631430000000003</v>
      </c>
      <c r="E132" s="18">
        <v>0.92052350000000005</v>
      </c>
      <c r="F132" s="18">
        <v>0.92186469999999998</v>
      </c>
      <c r="G132" s="18">
        <v>0.92214169999999995</v>
      </c>
      <c r="H132" s="18">
        <v>0.92601990000000001</v>
      </c>
      <c r="I132" s="18">
        <v>0.92562990000000001</v>
      </c>
      <c r="J132" s="18">
        <v>0.92408900000000005</v>
      </c>
      <c r="K132" s="18">
        <v>0.92819830000000003</v>
      </c>
      <c r="L132" s="18">
        <v>0.92069080000000003</v>
      </c>
      <c r="M132" s="18">
        <v>0.92331730000000001</v>
      </c>
      <c r="N132" s="27">
        <f t="shared" si="6"/>
        <v>0.92052350000000005</v>
      </c>
    </row>
    <row r="133" spans="1:14" x14ac:dyDescent="0.25">
      <c r="A133" s="35"/>
      <c r="B133" s="36">
        <v>1000</v>
      </c>
      <c r="C133" s="2">
        <v>10</v>
      </c>
      <c r="D133" s="9">
        <v>8.9111930000000006E-2</v>
      </c>
      <c r="E133" s="9">
        <v>8.8860220000000004E-2</v>
      </c>
      <c r="F133" s="9">
        <v>8.9231550000000007E-2</v>
      </c>
      <c r="G133" s="9">
        <v>8.9846549999999997E-2</v>
      </c>
      <c r="H133" s="9">
        <v>8.9584629999999998E-2</v>
      </c>
      <c r="I133" s="9">
        <v>8.9418929999999994E-2</v>
      </c>
      <c r="J133" s="9">
        <v>8.952649E-2</v>
      </c>
      <c r="K133" s="9">
        <v>8.9561089999999996E-2</v>
      </c>
      <c r="L133" s="9">
        <v>9.1515979999999997E-2</v>
      </c>
      <c r="M133" s="9">
        <v>9.0062799999999998E-2</v>
      </c>
      <c r="N133" s="10">
        <f t="shared" si="6"/>
        <v>8.8860220000000004E-2</v>
      </c>
    </row>
    <row r="134" spans="1:14" x14ac:dyDescent="0.25">
      <c r="A134" s="35"/>
      <c r="B134" s="37"/>
      <c r="C134" s="3">
        <v>100</v>
      </c>
      <c r="D134" s="8">
        <v>0.89373519999999995</v>
      </c>
      <c r="E134" s="8">
        <v>0.90407170000000003</v>
      </c>
      <c r="F134" s="8">
        <v>0.91551899999999997</v>
      </c>
      <c r="G134" s="8">
        <v>0.90684039999999999</v>
      </c>
      <c r="H134" s="8">
        <v>0.90209099999999998</v>
      </c>
      <c r="I134" s="8">
        <v>0.90420210000000001</v>
      </c>
      <c r="J134" s="8">
        <v>0.92288210000000004</v>
      </c>
      <c r="K134" s="8">
        <v>0.90146329999999997</v>
      </c>
      <c r="L134" s="8">
        <v>0.89993000000000001</v>
      </c>
      <c r="M134" s="8">
        <v>0.90128799999999998</v>
      </c>
      <c r="N134" s="26">
        <f t="shared" si="6"/>
        <v>0.89373519999999995</v>
      </c>
    </row>
    <row r="135" spans="1:14" x14ac:dyDescent="0.25">
      <c r="A135" s="35"/>
      <c r="B135" s="37"/>
      <c r="C135" s="3">
        <v>1000</v>
      </c>
      <c r="D135" s="8">
        <v>9.0343979999999995</v>
      </c>
      <c r="E135" s="8">
        <v>9.0005880000000005</v>
      </c>
      <c r="F135" s="8">
        <v>9.0001339999999992</v>
      </c>
      <c r="G135" s="8">
        <v>9.0150869999999994</v>
      </c>
      <c r="H135" s="8">
        <v>9.0520849999999999</v>
      </c>
      <c r="I135" s="8">
        <v>9.0046339999999994</v>
      </c>
      <c r="J135" s="8">
        <v>9.0103519999999993</v>
      </c>
      <c r="K135" s="8">
        <v>9.0368309999999994</v>
      </c>
      <c r="L135" s="8">
        <v>8.9924389999999992</v>
      </c>
      <c r="M135" s="8">
        <v>9.0174090000000007</v>
      </c>
      <c r="N135" s="26">
        <f t="shared" si="6"/>
        <v>8.9924389999999992</v>
      </c>
    </row>
    <row r="136" spans="1:14" ht="15.75" thickBot="1" x14ac:dyDescent="0.3">
      <c r="A136" s="35"/>
      <c r="B136" s="38"/>
      <c r="C136" s="4">
        <v>10000</v>
      </c>
      <c r="D136" s="18">
        <v>90.247550000000004</v>
      </c>
      <c r="E136" s="18">
        <v>90.495760000000004</v>
      </c>
      <c r="F136" s="18">
        <v>89.816630000000004</v>
      </c>
      <c r="G136" s="18">
        <v>90.484179999999995</v>
      </c>
      <c r="H136" s="18">
        <v>90.018529999999998</v>
      </c>
      <c r="I136" s="18">
        <v>90.249690000000001</v>
      </c>
      <c r="J136" s="18">
        <v>90.038020000000003</v>
      </c>
      <c r="K136" s="18">
        <v>90.157650000000004</v>
      </c>
      <c r="L136" s="18">
        <v>89.987949999999998</v>
      </c>
      <c r="M136" s="18">
        <v>89.933859999999996</v>
      </c>
      <c r="N136" s="27">
        <f t="shared" si="6"/>
        <v>89.816630000000004</v>
      </c>
    </row>
    <row r="137" spans="1:14" x14ac:dyDescent="0.25">
      <c r="A137" s="34">
        <v>2</v>
      </c>
      <c r="B137" s="36">
        <v>10</v>
      </c>
      <c r="C137" s="2">
        <v>10</v>
      </c>
      <c r="D137" s="9">
        <v>1.84415E-4</v>
      </c>
      <c r="E137" s="9">
        <v>9.1952000000000003E-5</v>
      </c>
      <c r="F137" s="9">
        <v>7.8497000000000004E-5</v>
      </c>
      <c r="G137" s="9">
        <v>1.49369E-4</v>
      </c>
      <c r="H137" s="9">
        <v>9.2703999999999999E-5</v>
      </c>
      <c r="I137" s="9">
        <v>8.1421999999999994E-5</v>
      </c>
      <c r="J137" s="9">
        <v>1.5884800000000001E-4</v>
      </c>
      <c r="K137" s="9">
        <v>8.1332E-5</v>
      </c>
      <c r="L137" s="9">
        <v>1.45322E-4</v>
      </c>
      <c r="M137" s="9">
        <v>7.7053999999999998E-5</v>
      </c>
      <c r="N137" s="10">
        <f t="shared" ref="N137:N160" si="7">MIN(D137:M137)</f>
        <v>7.7053999999999998E-5</v>
      </c>
    </row>
    <row r="138" spans="1:14" x14ac:dyDescent="0.25">
      <c r="A138" s="35"/>
      <c r="B138" s="37"/>
      <c r="C138" s="3">
        <v>100</v>
      </c>
      <c r="D138" s="8">
        <v>1.90817E-4</v>
      </c>
      <c r="E138" s="8">
        <v>2.17918E-4</v>
      </c>
      <c r="F138" s="8">
        <v>1.8903400000000001E-4</v>
      </c>
      <c r="G138" s="8">
        <v>2.6357399999999998E-4</v>
      </c>
      <c r="H138" s="8">
        <v>3.4266199999999998E-4</v>
      </c>
      <c r="I138" s="8">
        <v>3.6102600000000002E-4</v>
      </c>
      <c r="J138" s="8">
        <v>2.2064299999999999E-4</v>
      </c>
      <c r="K138" s="8">
        <v>1.9590699999999999E-4</v>
      </c>
      <c r="L138" s="8">
        <v>1.9138799999999999E-4</v>
      </c>
      <c r="M138" s="8">
        <v>1.7821300000000001E-4</v>
      </c>
      <c r="N138" s="26">
        <f t="shared" si="7"/>
        <v>1.7821300000000001E-4</v>
      </c>
    </row>
    <row r="139" spans="1:14" x14ac:dyDescent="0.25">
      <c r="A139" s="35"/>
      <c r="B139" s="37"/>
      <c r="C139" s="3">
        <v>1000</v>
      </c>
      <c r="D139" s="8">
        <v>1.283714E-3</v>
      </c>
      <c r="E139" s="8">
        <v>2.5006210000000002E-3</v>
      </c>
      <c r="F139" s="8">
        <v>1.370645E-3</v>
      </c>
      <c r="G139" s="8">
        <v>1.305313E-3</v>
      </c>
      <c r="H139" s="8">
        <v>1.269376E-3</v>
      </c>
      <c r="I139" s="8">
        <v>2.8925349999999999E-3</v>
      </c>
      <c r="J139" s="8">
        <v>1.290937E-3</v>
      </c>
      <c r="K139" s="8">
        <v>1.2725119999999999E-3</v>
      </c>
      <c r="L139" s="8">
        <v>1.676929E-3</v>
      </c>
      <c r="M139" s="8">
        <v>1.3142E-3</v>
      </c>
      <c r="N139" s="26">
        <f t="shared" si="7"/>
        <v>1.269376E-3</v>
      </c>
    </row>
    <row r="140" spans="1:14" ht="15.75" thickBot="1" x14ac:dyDescent="0.3">
      <c r="A140" s="35"/>
      <c r="B140" s="38"/>
      <c r="C140" s="4">
        <v>10000</v>
      </c>
      <c r="D140" s="18">
        <v>2.3557169999999999E-2</v>
      </c>
      <c r="E140" s="18">
        <v>2.363198E-2</v>
      </c>
      <c r="F140" s="18">
        <v>1.265023E-2</v>
      </c>
      <c r="G140" s="18">
        <v>1.217355E-2</v>
      </c>
      <c r="H140" s="18">
        <v>1.211661E-2</v>
      </c>
      <c r="I140" s="18">
        <v>2.4001789999999999E-2</v>
      </c>
      <c r="J140" s="18">
        <v>2.3333840000000002E-2</v>
      </c>
      <c r="K140" s="18">
        <v>1.272088E-2</v>
      </c>
      <c r="L140" s="18">
        <v>1.241723E-2</v>
      </c>
      <c r="M140" s="18">
        <v>2.3598850000000001E-2</v>
      </c>
      <c r="N140" s="27">
        <f t="shared" si="7"/>
        <v>1.211661E-2</v>
      </c>
    </row>
    <row r="141" spans="1:14" x14ac:dyDescent="0.25">
      <c r="A141" s="35"/>
      <c r="B141" s="36">
        <v>100</v>
      </c>
      <c r="C141" s="2">
        <v>10</v>
      </c>
      <c r="D141" s="9">
        <v>6.5202100000000002E-4</v>
      </c>
      <c r="E141" s="9">
        <v>9.0031499999999995E-4</v>
      </c>
      <c r="F141" s="9">
        <v>5.3952000000000004E-4</v>
      </c>
      <c r="G141" s="9">
        <v>1.388519E-3</v>
      </c>
      <c r="H141" s="9">
        <v>1.1117410000000001E-3</v>
      </c>
      <c r="I141" s="9">
        <v>5.4841700000000005E-4</v>
      </c>
      <c r="J141" s="9">
        <v>5.2677599999999996E-4</v>
      </c>
      <c r="K141" s="9">
        <v>5.4543099999999998E-4</v>
      </c>
      <c r="L141" s="9">
        <v>8.6082200000000002E-4</v>
      </c>
      <c r="M141" s="9">
        <v>6.1205600000000004E-4</v>
      </c>
      <c r="N141" s="10">
        <f t="shared" si="7"/>
        <v>5.2677599999999996E-4</v>
      </c>
    </row>
    <row r="142" spans="1:14" x14ac:dyDescent="0.25">
      <c r="A142" s="35"/>
      <c r="B142" s="37"/>
      <c r="C142" s="3">
        <v>100</v>
      </c>
      <c r="D142" s="8">
        <v>5.1765099999999996E-3</v>
      </c>
      <c r="E142" s="8">
        <v>6.1612139999999999E-3</v>
      </c>
      <c r="F142" s="8">
        <v>4.9432139999999996E-3</v>
      </c>
      <c r="G142" s="8">
        <v>4.8200329999999996E-3</v>
      </c>
      <c r="H142" s="8">
        <v>5.3010640000000003E-3</v>
      </c>
      <c r="I142" s="8">
        <v>5.6206420000000003E-3</v>
      </c>
      <c r="J142" s="8">
        <v>5.1152860000000001E-3</v>
      </c>
      <c r="K142" s="8">
        <v>5.1301039999999999E-3</v>
      </c>
      <c r="L142" s="8">
        <v>6.708238E-3</v>
      </c>
      <c r="M142" s="8">
        <v>4.9566990000000002E-3</v>
      </c>
      <c r="N142" s="26">
        <f t="shared" si="7"/>
        <v>4.8200329999999996E-3</v>
      </c>
    </row>
    <row r="143" spans="1:14" x14ac:dyDescent="0.25">
      <c r="A143" s="35"/>
      <c r="B143" s="37"/>
      <c r="C143" s="3">
        <v>1000</v>
      </c>
      <c r="D143" s="8">
        <v>6.4212350000000001E-2</v>
      </c>
      <c r="E143" s="8">
        <v>4.9956159999999999E-2</v>
      </c>
      <c r="F143" s="8">
        <v>4.8775470000000001E-2</v>
      </c>
      <c r="G143" s="8">
        <v>5.4437840000000001E-2</v>
      </c>
      <c r="H143" s="8">
        <v>5.6163339999999999E-2</v>
      </c>
      <c r="I143" s="8">
        <v>5.1492990000000002E-2</v>
      </c>
      <c r="J143" s="8">
        <v>4.8400550000000001E-2</v>
      </c>
      <c r="K143" s="8">
        <v>4.722486E-2</v>
      </c>
      <c r="L143" s="8">
        <v>5.2055629999999999E-2</v>
      </c>
      <c r="M143" s="8">
        <v>4.8679199999999999E-2</v>
      </c>
      <c r="N143" s="26">
        <f t="shared" si="7"/>
        <v>4.722486E-2</v>
      </c>
    </row>
    <row r="144" spans="1:14" ht="15.75" thickBot="1" x14ac:dyDescent="0.3">
      <c r="A144" s="35"/>
      <c r="B144" s="38"/>
      <c r="C144" s="4">
        <v>10000</v>
      </c>
      <c r="D144" s="18">
        <v>0.56134729999999999</v>
      </c>
      <c r="E144" s="18">
        <v>0.51212159999999995</v>
      </c>
      <c r="F144" s="18">
        <v>0.50768970000000002</v>
      </c>
      <c r="G144" s="18">
        <v>0.66438410000000003</v>
      </c>
      <c r="H144" s="18">
        <v>0.5506875</v>
      </c>
      <c r="I144" s="18">
        <v>0.53666639999999999</v>
      </c>
      <c r="J144" s="18">
        <v>0.53764650000000003</v>
      </c>
      <c r="K144" s="18">
        <v>0.59622779999999997</v>
      </c>
      <c r="L144" s="18">
        <v>0.54598250000000004</v>
      </c>
      <c r="M144" s="18">
        <v>0.56178280000000003</v>
      </c>
      <c r="N144" s="27">
        <f t="shared" si="7"/>
        <v>0.50768970000000002</v>
      </c>
    </row>
    <row r="145" spans="1:14" x14ac:dyDescent="0.25">
      <c r="A145" s="35"/>
      <c r="B145" s="36">
        <v>1000</v>
      </c>
      <c r="C145" s="2">
        <v>10</v>
      </c>
      <c r="D145" s="9">
        <v>4.7281469999999999E-2</v>
      </c>
      <c r="E145" s="9">
        <v>4.616315E-2</v>
      </c>
      <c r="F145" s="9">
        <v>4.7597019999999997E-2</v>
      </c>
      <c r="G145" s="9">
        <v>4.5551170000000002E-2</v>
      </c>
      <c r="H145" s="9">
        <v>5.5230929999999998E-2</v>
      </c>
      <c r="I145" s="9">
        <v>4.5099720000000003E-2</v>
      </c>
      <c r="J145" s="9">
        <v>4.5758269999999997E-2</v>
      </c>
      <c r="K145" s="9">
        <v>4.6087169999999997E-2</v>
      </c>
      <c r="L145" s="9">
        <v>4.5513480000000002E-2</v>
      </c>
      <c r="M145" s="9">
        <v>4.5854640000000002E-2</v>
      </c>
      <c r="N145" s="10">
        <f t="shared" si="7"/>
        <v>4.5099720000000003E-2</v>
      </c>
    </row>
    <row r="146" spans="1:14" x14ac:dyDescent="0.25">
      <c r="A146" s="35"/>
      <c r="B146" s="37"/>
      <c r="C146" s="3">
        <v>100</v>
      </c>
      <c r="D146" s="8">
        <v>0.51603810000000006</v>
      </c>
      <c r="E146" s="8">
        <v>0.50149940000000004</v>
      </c>
      <c r="F146" s="8">
        <v>0.50228039999999996</v>
      </c>
      <c r="G146" s="8">
        <v>0.47824909999999998</v>
      </c>
      <c r="H146" s="8">
        <v>0.48655999999999999</v>
      </c>
      <c r="I146" s="8">
        <v>0.48480050000000002</v>
      </c>
      <c r="J146" s="8">
        <v>0.56374769999999996</v>
      </c>
      <c r="K146" s="8">
        <v>0.55176820000000004</v>
      </c>
      <c r="L146" s="8">
        <v>0.48960510000000002</v>
      </c>
      <c r="M146" s="8">
        <v>0.58939220000000003</v>
      </c>
      <c r="N146" s="26">
        <f t="shared" si="7"/>
        <v>0.47824909999999998</v>
      </c>
    </row>
    <row r="147" spans="1:14" x14ac:dyDescent="0.25">
      <c r="A147" s="35"/>
      <c r="B147" s="37"/>
      <c r="C147" s="3">
        <v>1000</v>
      </c>
      <c r="D147" s="8">
        <v>5.1494359999999997</v>
      </c>
      <c r="E147" s="8">
        <v>5.1445980000000002</v>
      </c>
      <c r="F147" s="8">
        <v>5.1403990000000004</v>
      </c>
      <c r="G147" s="8">
        <v>4.8561399999999999</v>
      </c>
      <c r="H147" s="8">
        <v>5.1904130000000004</v>
      </c>
      <c r="I147" s="8">
        <v>5.3966580000000004</v>
      </c>
      <c r="J147" s="8">
        <v>4.9639360000000003</v>
      </c>
      <c r="K147" s="8">
        <v>4.8281099999999997</v>
      </c>
      <c r="L147" s="8">
        <v>4.9262449999999998</v>
      </c>
      <c r="M147" s="8">
        <v>5.1635</v>
      </c>
      <c r="N147" s="26">
        <f t="shared" si="7"/>
        <v>4.8281099999999997</v>
      </c>
    </row>
    <row r="148" spans="1:14" ht="15.75" thickBot="1" x14ac:dyDescent="0.3">
      <c r="A148" s="35"/>
      <c r="B148" s="38"/>
      <c r="C148" s="4">
        <v>10000</v>
      </c>
      <c r="D148" s="18">
        <v>50.158639999999998</v>
      </c>
      <c r="E148" s="18">
        <v>50.063299999999998</v>
      </c>
      <c r="F148" s="18">
        <v>49.096209999999999</v>
      </c>
      <c r="G148" s="18">
        <v>49.185380000000002</v>
      </c>
      <c r="H148" s="18">
        <v>50.390830000000001</v>
      </c>
      <c r="I148" s="18">
        <v>51.255929999999999</v>
      </c>
      <c r="J148" s="18">
        <v>50.096800000000002</v>
      </c>
      <c r="K148" s="18">
        <v>49.799959999999999</v>
      </c>
      <c r="L148" s="18">
        <v>49.176360000000003</v>
      </c>
      <c r="M148" s="18">
        <v>49.737310000000001</v>
      </c>
      <c r="N148" s="27">
        <f t="shared" si="7"/>
        <v>49.096209999999999</v>
      </c>
    </row>
    <row r="149" spans="1:14" x14ac:dyDescent="0.25">
      <c r="A149" s="34">
        <v>4</v>
      </c>
      <c r="B149" s="36">
        <v>10</v>
      </c>
      <c r="C149" s="2">
        <v>10</v>
      </c>
      <c r="D149" s="9">
        <v>2.5102000000000002E-4</v>
      </c>
      <c r="E149" s="9">
        <v>2.8322999999999998E-4</v>
      </c>
      <c r="F149" s="9">
        <v>3.9033999999999998E-4</v>
      </c>
      <c r="G149" s="9">
        <v>3.2498800000000001E-4</v>
      </c>
      <c r="H149" s="9">
        <v>3.1738399999999998E-4</v>
      </c>
      <c r="I149" s="9">
        <v>2.6761100000000001E-4</v>
      </c>
      <c r="J149" s="9">
        <v>2.3482E-4</v>
      </c>
      <c r="K149" s="9">
        <v>4.0077999999999999E-4</v>
      </c>
      <c r="L149" s="9">
        <v>4.8369500000000002E-4</v>
      </c>
      <c r="M149" s="9">
        <v>3.4051799999999999E-4</v>
      </c>
      <c r="N149" s="10">
        <f t="shared" si="7"/>
        <v>2.3482E-4</v>
      </c>
    </row>
    <row r="150" spans="1:14" x14ac:dyDescent="0.25">
      <c r="A150" s="35"/>
      <c r="B150" s="37"/>
      <c r="C150" s="3">
        <v>100</v>
      </c>
      <c r="D150" s="8">
        <v>7.54062E-4</v>
      </c>
      <c r="E150" s="8">
        <v>6.6082700000000001E-4</v>
      </c>
      <c r="F150" s="8">
        <v>5.16677E-4</v>
      </c>
      <c r="G150" s="8">
        <v>4.8125099999999998E-4</v>
      </c>
      <c r="H150" s="8">
        <v>4.0142200000000002E-4</v>
      </c>
      <c r="I150" s="8">
        <v>4.1736099999999999E-4</v>
      </c>
      <c r="J150" s="8">
        <v>5.9845000000000005E-4</v>
      </c>
      <c r="K150" s="8">
        <v>4.9427499999999997E-4</v>
      </c>
      <c r="L150" s="8">
        <v>3.8814699999999998E-4</v>
      </c>
      <c r="M150" s="8">
        <v>5.4662299999999999E-4</v>
      </c>
      <c r="N150" s="26">
        <f t="shared" si="7"/>
        <v>3.8814699999999998E-4</v>
      </c>
    </row>
    <row r="151" spans="1:14" x14ac:dyDescent="0.25">
      <c r="A151" s="35"/>
      <c r="B151" s="37"/>
      <c r="C151" s="3">
        <v>1000</v>
      </c>
      <c r="D151" s="8">
        <v>3.0235399999999999E-3</v>
      </c>
      <c r="E151" s="8">
        <v>2.7865260000000001E-3</v>
      </c>
      <c r="F151" s="8">
        <v>2.6242119999999999E-3</v>
      </c>
      <c r="G151" s="8">
        <v>2.3816480000000001E-3</v>
      </c>
      <c r="H151" s="8">
        <v>2.5554039999999998E-3</v>
      </c>
      <c r="I151" s="8">
        <v>2.7733520000000002E-3</v>
      </c>
      <c r="J151" s="8">
        <v>2.7458000000000001E-3</v>
      </c>
      <c r="K151" s="8">
        <v>2.5894170000000001E-3</v>
      </c>
      <c r="L151" s="8">
        <v>2.638559E-3</v>
      </c>
      <c r="M151" s="8">
        <v>2.4921460000000002E-3</v>
      </c>
      <c r="N151" s="26">
        <f t="shared" si="7"/>
        <v>2.3816480000000001E-3</v>
      </c>
    </row>
    <row r="152" spans="1:14" ht="15.75" thickBot="1" x14ac:dyDescent="0.3">
      <c r="A152" s="35"/>
      <c r="B152" s="38"/>
      <c r="C152" s="4">
        <v>10000</v>
      </c>
      <c r="D152" s="18">
        <v>2.5759580000000001E-2</v>
      </c>
      <c r="E152" s="18">
        <v>2.5854709999999999E-2</v>
      </c>
      <c r="F152" s="18">
        <v>2.5224699999999999E-2</v>
      </c>
      <c r="G152" s="18">
        <v>2.5038520000000002E-2</v>
      </c>
      <c r="H152" s="18">
        <v>2.4278319999999999E-2</v>
      </c>
      <c r="I152" s="18">
        <v>2.6244239999999999E-2</v>
      </c>
      <c r="J152" s="18">
        <v>2.3816650000000002E-2</v>
      </c>
      <c r="K152" s="18">
        <v>2.4152699999999999E-2</v>
      </c>
      <c r="L152" s="18">
        <v>2.5088849999999999E-2</v>
      </c>
      <c r="M152" s="18">
        <v>2.4975839999999999E-2</v>
      </c>
      <c r="N152" s="27">
        <f t="shared" si="7"/>
        <v>2.3816650000000002E-2</v>
      </c>
    </row>
    <row r="153" spans="1:14" x14ac:dyDescent="0.25">
      <c r="A153" s="35"/>
      <c r="B153" s="36">
        <v>100</v>
      </c>
      <c r="C153" s="2">
        <v>10</v>
      </c>
      <c r="D153" s="9">
        <v>4.7113199999999997E-4</v>
      </c>
      <c r="E153" s="9">
        <v>8.4697500000000003E-4</v>
      </c>
      <c r="F153" s="9">
        <v>6.3157299999999997E-4</v>
      </c>
      <c r="G153" s="9">
        <v>7.4922300000000003E-4</v>
      </c>
      <c r="H153" s="9">
        <v>7.8021000000000004E-4</v>
      </c>
      <c r="I153" s="9">
        <v>7.1204299999999999E-4</v>
      </c>
      <c r="J153" s="9">
        <v>4.5799700000000003E-4</v>
      </c>
      <c r="K153" s="9">
        <v>4.5557300000000002E-4</v>
      </c>
      <c r="L153" s="9">
        <v>4.4907999999999998E-4</v>
      </c>
      <c r="M153" s="9">
        <v>5.1721799999999995E-4</v>
      </c>
      <c r="N153" s="10">
        <f t="shared" si="7"/>
        <v>4.4907999999999998E-4</v>
      </c>
    </row>
    <row r="154" spans="1:14" x14ac:dyDescent="0.25">
      <c r="A154" s="35"/>
      <c r="B154" s="37"/>
      <c r="C154" s="3">
        <v>100</v>
      </c>
      <c r="D154" s="8">
        <v>4.0991329999999996E-3</v>
      </c>
      <c r="E154" s="8">
        <v>3.7554200000000002E-3</v>
      </c>
      <c r="F154" s="8">
        <v>3.449938E-3</v>
      </c>
      <c r="G154" s="8">
        <v>3.7748460000000001E-3</v>
      </c>
      <c r="H154" s="8">
        <v>3.5679890000000001E-3</v>
      </c>
      <c r="I154" s="8">
        <v>3.1919549999999998E-3</v>
      </c>
      <c r="J154" s="8">
        <v>3.2291350000000002E-3</v>
      </c>
      <c r="K154" s="8">
        <v>3.3090250000000002E-3</v>
      </c>
      <c r="L154" s="8">
        <v>2.9434299999999999E-3</v>
      </c>
      <c r="M154" s="8">
        <v>3.701729E-3</v>
      </c>
      <c r="N154" s="26">
        <f t="shared" si="7"/>
        <v>2.9434299999999999E-3</v>
      </c>
    </row>
    <row r="155" spans="1:14" x14ac:dyDescent="0.25">
      <c r="A155" s="35"/>
      <c r="B155" s="37"/>
      <c r="C155" s="3">
        <v>1000</v>
      </c>
      <c r="D155" s="8">
        <v>3.792976E-2</v>
      </c>
      <c r="E155" s="8">
        <v>2.875931E-2</v>
      </c>
      <c r="F155" s="8">
        <v>3.7154029999999998E-2</v>
      </c>
      <c r="G155" s="8">
        <v>4.0312880000000002E-2</v>
      </c>
      <c r="H155" s="8">
        <v>2.9888049999999999E-2</v>
      </c>
      <c r="I155" s="8">
        <v>3.6180829999999997E-2</v>
      </c>
      <c r="J155" s="8">
        <v>4.4844589999999997E-2</v>
      </c>
      <c r="K155" s="8">
        <v>3.0293520000000001E-2</v>
      </c>
      <c r="L155" s="8">
        <v>2.927985E-2</v>
      </c>
      <c r="M155" s="8">
        <v>3.8757130000000001E-2</v>
      </c>
      <c r="N155" s="26">
        <f t="shared" si="7"/>
        <v>2.875931E-2</v>
      </c>
    </row>
    <row r="156" spans="1:14" ht="15.75" thickBot="1" x14ac:dyDescent="0.3">
      <c r="A156" s="35"/>
      <c r="B156" s="38"/>
      <c r="C156" s="4">
        <v>10000</v>
      </c>
      <c r="D156" s="18">
        <v>0.3984298</v>
      </c>
      <c r="E156" s="18">
        <v>0.40170529999999999</v>
      </c>
      <c r="F156" s="18">
        <v>0.40508690000000003</v>
      </c>
      <c r="G156" s="18">
        <v>0.37714829999999999</v>
      </c>
      <c r="H156" s="18">
        <v>0.40245249999999999</v>
      </c>
      <c r="I156" s="18">
        <v>0.38682499999999997</v>
      </c>
      <c r="J156" s="18">
        <v>0.39458569999999998</v>
      </c>
      <c r="K156" s="18">
        <v>0.3558577</v>
      </c>
      <c r="L156" s="18">
        <v>0.33999230000000003</v>
      </c>
      <c r="M156" s="18">
        <v>0.3647128</v>
      </c>
      <c r="N156" s="27">
        <f t="shared" si="7"/>
        <v>0.33999230000000003</v>
      </c>
    </row>
    <row r="157" spans="1:14" ht="15" customHeight="1" x14ac:dyDescent="0.25">
      <c r="A157" s="35"/>
      <c r="B157" s="36">
        <v>1000</v>
      </c>
      <c r="C157" s="2">
        <v>10</v>
      </c>
      <c r="D157" s="9">
        <v>2.3495200000000001E-2</v>
      </c>
      <c r="E157" s="9">
        <v>3.0407400000000001E-2</v>
      </c>
      <c r="F157" s="9">
        <v>3.0348730000000001E-2</v>
      </c>
      <c r="G157" s="9">
        <v>2.446073E-2</v>
      </c>
      <c r="H157" s="9">
        <v>2.7305010000000001E-2</v>
      </c>
      <c r="I157" s="9">
        <v>2.3668580000000002E-2</v>
      </c>
      <c r="J157" s="9">
        <v>2.3228539999999999E-2</v>
      </c>
      <c r="K157" s="9">
        <v>4.0812939999999999E-2</v>
      </c>
      <c r="L157" s="9">
        <v>3.4583129999999997E-2</v>
      </c>
      <c r="M157" s="9">
        <v>2.4240660000000001E-2</v>
      </c>
      <c r="N157" s="10">
        <f t="shared" si="7"/>
        <v>2.3228539999999999E-2</v>
      </c>
    </row>
    <row r="158" spans="1:14" x14ac:dyDescent="0.25">
      <c r="A158" s="35"/>
      <c r="B158" s="37"/>
      <c r="C158" s="3">
        <v>100</v>
      </c>
      <c r="D158" s="8">
        <v>0.32423419999999997</v>
      </c>
      <c r="E158" s="8">
        <v>0.29869329999999999</v>
      </c>
      <c r="F158" s="8">
        <v>0.2897227</v>
      </c>
      <c r="G158" s="8">
        <v>0.30648599999999998</v>
      </c>
      <c r="H158" s="8">
        <v>0.34722429999999999</v>
      </c>
      <c r="I158" s="8">
        <v>0.33700540000000001</v>
      </c>
      <c r="J158" s="8">
        <v>0.2796129</v>
      </c>
      <c r="K158" s="8">
        <v>0.38575189999999998</v>
      </c>
      <c r="L158" s="8">
        <v>0.29511120000000002</v>
      </c>
      <c r="M158" s="8">
        <v>0.36549870000000001</v>
      </c>
      <c r="N158" s="26">
        <f t="shared" si="7"/>
        <v>0.2796129</v>
      </c>
    </row>
    <row r="159" spans="1:14" x14ac:dyDescent="0.25">
      <c r="A159" s="35"/>
      <c r="B159" s="37"/>
      <c r="C159" s="3">
        <v>1000</v>
      </c>
      <c r="D159" s="8">
        <v>3.4701879999999998</v>
      </c>
      <c r="E159" s="8">
        <v>3.5476839999999998</v>
      </c>
      <c r="F159" s="8">
        <v>3.380932</v>
      </c>
      <c r="G159" s="8">
        <v>3.7539120000000001</v>
      </c>
      <c r="H159" s="8">
        <v>3.4520330000000001</v>
      </c>
      <c r="I159" s="8">
        <v>3.5340600000000002</v>
      </c>
      <c r="J159" s="8">
        <v>3.2617349999999998</v>
      </c>
      <c r="K159" s="8">
        <v>3.455422</v>
      </c>
      <c r="L159" s="8">
        <v>3.6036459999999999</v>
      </c>
      <c r="M159" s="8">
        <v>3.442793</v>
      </c>
      <c r="N159" s="26">
        <f t="shared" si="7"/>
        <v>3.2617349999999998</v>
      </c>
    </row>
    <row r="160" spans="1:14" ht="15.75" thickBot="1" x14ac:dyDescent="0.3">
      <c r="A160" s="51"/>
      <c r="B160" s="38"/>
      <c r="C160" s="4">
        <v>10000</v>
      </c>
      <c r="D160" s="18">
        <v>34.135019999999997</v>
      </c>
      <c r="E160" s="18">
        <v>35.387560000000001</v>
      </c>
      <c r="F160" s="18">
        <v>36.286450000000002</v>
      </c>
      <c r="G160" s="18">
        <v>36.402349999999998</v>
      </c>
      <c r="H160" s="18">
        <v>36.643090000000001</v>
      </c>
      <c r="I160" s="18">
        <v>37.403689999999997</v>
      </c>
      <c r="J160" s="18">
        <v>41.300789999999999</v>
      </c>
      <c r="K160" s="18">
        <v>41.45082</v>
      </c>
      <c r="L160" s="18">
        <v>38.435569999999998</v>
      </c>
      <c r="M160" s="18">
        <v>37.699379999999998</v>
      </c>
      <c r="N160" s="27">
        <f t="shared" si="7"/>
        <v>34.135019999999997</v>
      </c>
    </row>
  </sheetData>
  <mergeCells count="72">
    <mergeCell ref="A97:A108"/>
    <mergeCell ref="B97:B100"/>
    <mergeCell ref="B101:B104"/>
    <mergeCell ref="B105:B108"/>
    <mergeCell ref="A149:A160"/>
    <mergeCell ref="B149:B152"/>
    <mergeCell ref="B153:B156"/>
    <mergeCell ref="B157:B160"/>
    <mergeCell ref="B109:B112"/>
    <mergeCell ref="A109:A120"/>
    <mergeCell ref="B113:B116"/>
    <mergeCell ref="B117:B120"/>
    <mergeCell ref="A125:A136"/>
    <mergeCell ref="B125:B128"/>
    <mergeCell ref="B129:B132"/>
    <mergeCell ref="B133:B136"/>
    <mergeCell ref="A137:A148"/>
    <mergeCell ref="B137:B140"/>
    <mergeCell ref="B141:B144"/>
    <mergeCell ref="B145:B148"/>
    <mergeCell ref="B68:B71"/>
    <mergeCell ref="A82:N82"/>
    <mergeCell ref="A123:A124"/>
    <mergeCell ref="B123:B124"/>
    <mergeCell ref="C123:C124"/>
    <mergeCell ref="D123:M123"/>
    <mergeCell ref="N123:N124"/>
    <mergeCell ref="A122:N122"/>
    <mergeCell ref="A83:A84"/>
    <mergeCell ref="B83:B84"/>
    <mergeCell ref="C83:C84"/>
    <mergeCell ref="D83:M83"/>
    <mergeCell ref="A56:A67"/>
    <mergeCell ref="B56:B59"/>
    <mergeCell ref="B60:B63"/>
    <mergeCell ref="B64:B67"/>
    <mergeCell ref="A68:A79"/>
    <mergeCell ref="B72:B75"/>
    <mergeCell ref="B76:B79"/>
    <mergeCell ref="A4:A15"/>
    <mergeCell ref="A16:A27"/>
    <mergeCell ref="A28:A39"/>
    <mergeCell ref="A44:A55"/>
    <mergeCell ref="B44:B47"/>
    <mergeCell ref="B48:B51"/>
    <mergeCell ref="B52:B55"/>
    <mergeCell ref="B8:B11"/>
    <mergeCell ref="B12:B15"/>
    <mergeCell ref="B4:B7"/>
    <mergeCell ref="B16:B19"/>
    <mergeCell ref="B20:B23"/>
    <mergeCell ref="B24:B27"/>
    <mergeCell ref="B28:B31"/>
    <mergeCell ref="B32:B35"/>
    <mergeCell ref="B36:B39"/>
    <mergeCell ref="A1:N1"/>
    <mergeCell ref="A2:A3"/>
    <mergeCell ref="B2:B3"/>
    <mergeCell ref="C2:C3"/>
    <mergeCell ref="D2:M2"/>
    <mergeCell ref="N2:N3"/>
    <mergeCell ref="A41:N41"/>
    <mergeCell ref="A42:A43"/>
    <mergeCell ref="B42:B43"/>
    <mergeCell ref="C42:C43"/>
    <mergeCell ref="D42:M42"/>
    <mergeCell ref="N42:N43"/>
    <mergeCell ref="N83:N84"/>
    <mergeCell ref="A85:A96"/>
    <mergeCell ref="B85:B88"/>
    <mergeCell ref="B89:B92"/>
    <mergeCell ref="B93:B9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C753-D2FB-48AE-8191-434968960A66}">
  <dimension ref="A1:G43"/>
  <sheetViews>
    <sheetView tabSelected="1" zoomScale="130" zoomScaleNormal="130" workbookViewId="0">
      <selection activeCell="J12" sqref="J12"/>
    </sheetView>
  </sheetViews>
  <sheetFormatPr defaultRowHeight="15" x14ac:dyDescent="0.25"/>
  <cols>
    <col min="1" max="1" width="10.7109375" customWidth="1"/>
    <col min="2" max="2" width="10.140625" customWidth="1"/>
    <col min="3" max="3" width="9.85546875" customWidth="1"/>
    <col min="5" max="5" width="9.140625" customWidth="1"/>
    <col min="11" max="11" width="12.7109375" customWidth="1"/>
    <col min="12" max="12" width="12" customWidth="1"/>
    <col min="13" max="13" width="9.7109375" customWidth="1"/>
  </cols>
  <sheetData>
    <row r="1" spans="1:7" ht="27" customHeight="1" x14ac:dyDescent="0.25">
      <c r="A1" s="53" t="s">
        <v>13</v>
      </c>
      <c r="B1" s="54"/>
      <c r="C1" s="54"/>
      <c r="D1" s="54"/>
      <c r="E1" s="54"/>
      <c r="F1" s="54"/>
      <c r="G1" s="55"/>
    </row>
    <row r="2" spans="1:7" ht="51.75" customHeight="1" thickBot="1" x14ac:dyDescent="0.3">
      <c r="A2" s="15" t="s">
        <v>2</v>
      </c>
      <c r="B2" s="5" t="s">
        <v>3</v>
      </c>
      <c r="C2" s="5" t="s">
        <v>8</v>
      </c>
      <c r="D2" s="16" t="s">
        <v>9</v>
      </c>
      <c r="E2" s="5" t="s">
        <v>10</v>
      </c>
      <c r="F2" s="5" t="s">
        <v>11</v>
      </c>
      <c r="G2" s="7" t="s">
        <v>12</v>
      </c>
    </row>
    <row r="3" spans="1:7" x14ac:dyDescent="0.25">
      <c r="A3" s="59">
        <v>10</v>
      </c>
      <c r="B3" s="56">
        <v>10</v>
      </c>
      <c r="C3" s="12">
        <v>1</v>
      </c>
      <c r="D3" s="65">
        <v>2.0108000000000001E-5</v>
      </c>
      <c r="E3" s="65">
        <v>1.7002000000000001E-5</v>
      </c>
      <c r="F3" s="65">
        <v>1.7193E-5</v>
      </c>
      <c r="G3" s="66">
        <v>1.7393000000000001E-5</v>
      </c>
    </row>
    <row r="4" spans="1:7" x14ac:dyDescent="0.25">
      <c r="A4" s="60"/>
      <c r="B4" s="57"/>
      <c r="C4" s="13">
        <v>2</v>
      </c>
      <c r="D4" s="67">
        <v>7.9288000000000004E-5</v>
      </c>
      <c r="E4" s="67">
        <v>7.7799999999999994E-5</v>
      </c>
      <c r="F4" s="67">
        <v>7.4609000000000003E-5</v>
      </c>
      <c r="G4" s="68">
        <v>7.7053999999999998E-5</v>
      </c>
    </row>
    <row r="5" spans="1:7" ht="15.75" thickBot="1" x14ac:dyDescent="0.3">
      <c r="A5" s="60"/>
      <c r="B5" s="58"/>
      <c r="C5" s="14">
        <v>4</v>
      </c>
      <c r="D5" s="69">
        <v>1.6489900000000001E-4</v>
      </c>
      <c r="E5" s="69">
        <v>1.83E-4</v>
      </c>
      <c r="F5" s="69">
        <v>1.5259599999999999E-4</v>
      </c>
      <c r="G5" s="70">
        <v>2.3482E-4</v>
      </c>
    </row>
    <row r="6" spans="1:7" x14ac:dyDescent="0.25">
      <c r="A6" s="60"/>
      <c r="B6" s="56">
        <v>100</v>
      </c>
      <c r="C6" s="12">
        <v>1</v>
      </c>
      <c r="D6" s="65">
        <v>1.64127E-4</v>
      </c>
      <c r="E6" s="65">
        <v>1.3551399999999999E-4</v>
      </c>
      <c r="F6" s="65">
        <v>1.3687700000000001E-4</v>
      </c>
      <c r="G6" s="66">
        <v>1.3646599999999999E-4</v>
      </c>
    </row>
    <row r="7" spans="1:7" x14ac:dyDescent="0.25">
      <c r="A7" s="60"/>
      <c r="B7" s="57"/>
      <c r="C7" s="13">
        <v>2</v>
      </c>
      <c r="D7" s="67">
        <v>1.7559800000000001E-4</v>
      </c>
      <c r="E7" s="67">
        <v>1.9900000000000001E-4</v>
      </c>
      <c r="F7" s="67">
        <v>1.9843199999999999E-4</v>
      </c>
      <c r="G7" s="68">
        <v>1.7821300000000001E-4</v>
      </c>
    </row>
    <row r="8" spans="1:7" ht="15.75" thickBot="1" x14ac:dyDescent="0.3">
      <c r="A8" s="60"/>
      <c r="B8" s="58"/>
      <c r="C8" s="14">
        <v>4</v>
      </c>
      <c r="D8" s="69">
        <v>3.0262600000000001E-4</v>
      </c>
      <c r="E8" s="69">
        <v>2.7900000000000001E-4</v>
      </c>
      <c r="F8" s="69">
        <v>3.5458400000000002E-4</v>
      </c>
      <c r="G8" s="70">
        <v>3.8814699999999998E-4</v>
      </c>
    </row>
    <row r="9" spans="1:7" ht="15" customHeight="1" x14ac:dyDescent="0.25">
      <c r="A9" s="60"/>
      <c r="B9" s="56">
        <v>1000</v>
      </c>
      <c r="C9" s="12">
        <v>1</v>
      </c>
      <c r="D9" s="65">
        <v>1.6106829999999999E-3</v>
      </c>
      <c r="E9" s="65">
        <v>1.329989E-3</v>
      </c>
      <c r="F9" s="65">
        <v>1.3470509999999999E-3</v>
      </c>
      <c r="G9" s="66">
        <v>1.3550159999999999E-3</v>
      </c>
    </row>
    <row r="10" spans="1:7" x14ac:dyDescent="0.25">
      <c r="A10" s="60"/>
      <c r="B10" s="57"/>
      <c r="C10" s="13">
        <v>2</v>
      </c>
      <c r="D10" s="67">
        <v>1.1594890000000001E-3</v>
      </c>
      <c r="E10" s="67">
        <v>1.4499999999999999E-3</v>
      </c>
      <c r="F10" s="67">
        <v>1.288352E-3</v>
      </c>
      <c r="G10" s="68">
        <v>1.269376E-3</v>
      </c>
    </row>
    <row r="11" spans="1:7" ht="15.75" thickBot="1" x14ac:dyDescent="0.3">
      <c r="A11" s="60"/>
      <c r="B11" s="58"/>
      <c r="C11" s="14">
        <v>4</v>
      </c>
      <c r="D11" s="69">
        <v>1.7589210000000001E-3</v>
      </c>
      <c r="E11" s="69">
        <v>2.3700000000000001E-3</v>
      </c>
      <c r="F11" s="69">
        <v>2.3061969999999998E-3</v>
      </c>
      <c r="G11" s="70">
        <v>2.3816480000000001E-3</v>
      </c>
    </row>
    <row r="12" spans="1:7" x14ac:dyDescent="0.25">
      <c r="A12" s="60"/>
      <c r="B12" s="56">
        <v>10000</v>
      </c>
      <c r="C12" s="12">
        <v>1</v>
      </c>
      <c r="D12" s="65">
        <v>1.6247040000000001E-2</v>
      </c>
      <c r="E12" s="65">
        <v>1.338364E-2</v>
      </c>
      <c r="F12" s="65">
        <v>1.354144E-2</v>
      </c>
      <c r="G12" s="66">
        <v>1.3537860000000001E-2</v>
      </c>
    </row>
    <row r="13" spans="1:7" x14ac:dyDescent="0.25">
      <c r="A13" s="60"/>
      <c r="B13" s="57"/>
      <c r="C13" s="13">
        <v>2</v>
      </c>
      <c r="D13" s="67">
        <v>1.2022059999999999E-2</v>
      </c>
      <c r="E13" s="67">
        <v>1.422066E-2</v>
      </c>
      <c r="F13" s="67">
        <v>1.323624E-2</v>
      </c>
      <c r="G13" s="68">
        <v>1.211661E-2</v>
      </c>
    </row>
    <row r="14" spans="1:7" ht="15.75" thickBot="1" x14ac:dyDescent="0.3">
      <c r="A14" s="61"/>
      <c r="B14" s="58"/>
      <c r="C14" s="14">
        <v>4</v>
      </c>
      <c r="D14" s="69">
        <v>1.340132E-2</v>
      </c>
      <c r="E14" s="69">
        <v>2.2740070000000001E-2</v>
      </c>
      <c r="F14" s="69">
        <v>2.2932939999999999E-2</v>
      </c>
      <c r="G14" s="70">
        <v>2.3816650000000002E-2</v>
      </c>
    </row>
    <row r="15" spans="1:7" x14ac:dyDescent="0.25">
      <c r="A15" s="59">
        <v>100</v>
      </c>
      <c r="B15" s="56">
        <v>10</v>
      </c>
      <c r="C15" s="12">
        <v>1</v>
      </c>
      <c r="D15" s="65">
        <v>1.4069519999999999E-3</v>
      </c>
      <c r="E15" s="65">
        <v>9.0299100000000002E-4</v>
      </c>
      <c r="F15" s="65">
        <v>9.0744899999999995E-4</v>
      </c>
      <c r="G15" s="66">
        <v>9.0157799999999999E-4</v>
      </c>
    </row>
    <row r="16" spans="1:7" x14ac:dyDescent="0.25">
      <c r="A16" s="60"/>
      <c r="B16" s="57"/>
      <c r="C16" s="13">
        <v>2</v>
      </c>
      <c r="D16" s="67">
        <v>7.7455899999999997E-4</v>
      </c>
      <c r="E16" s="67">
        <v>7.4200000000000004E-4</v>
      </c>
      <c r="F16" s="67">
        <v>5.2686699999999998E-4</v>
      </c>
      <c r="G16" s="68">
        <v>5.2677599999999996E-4</v>
      </c>
    </row>
    <row r="17" spans="1:7" ht="15.75" thickBot="1" x14ac:dyDescent="0.3">
      <c r="A17" s="60"/>
      <c r="B17" s="58"/>
      <c r="C17" s="14">
        <v>4</v>
      </c>
      <c r="D17" s="69">
        <v>5.4669300000000001E-4</v>
      </c>
      <c r="E17" s="69">
        <v>5.6599999999999999E-4</v>
      </c>
      <c r="F17" s="69">
        <v>4.2355300000000002E-4</v>
      </c>
      <c r="G17" s="70">
        <v>4.4907999999999998E-4</v>
      </c>
    </row>
    <row r="18" spans="1:7" x14ac:dyDescent="0.25">
      <c r="A18" s="60"/>
      <c r="B18" s="56">
        <v>100</v>
      </c>
      <c r="C18" s="12">
        <v>1</v>
      </c>
      <c r="D18" s="65">
        <v>1.415462E-2</v>
      </c>
      <c r="E18" s="65">
        <v>9.1299999999999992E-3</v>
      </c>
      <c r="F18" s="65">
        <v>9.1517019999999994E-3</v>
      </c>
      <c r="G18" s="66">
        <v>9.0883530000000004E-3</v>
      </c>
    </row>
    <row r="19" spans="1:7" x14ac:dyDescent="0.25">
      <c r="A19" s="60"/>
      <c r="B19" s="57"/>
      <c r="C19" s="13">
        <v>2</v>
      </c>
      <c r="D19" s="67">
        <v>7.2073720000000001E-3</v>
      </c>
      <c r="E19" s="67">
        <v>6.9100000000000003E-3</v>
      </c>
      <c r="F19" s="67">
        <v>4.7396219999999998E-3</v>
      </c>
      <c r="G19" s="68">
        <v>4.8200329999999996E-3</v>
      </c>
    </row>
    <row r="20" spans="1:7" ht="15.75" thickBot="1" x14ac:dyDescent="0.3">
      <c r="A20" s="60"/>
      <c r="B20" s="58"/>
      <c r="C20" s="14">
        <v>4</v>
      </c>
      <c r="D20" s="69">
        <v>4.1757310000000002E-3</v>
      </c>
      <c r="E20" s="69">
        <v>4.3800000000000002E-3</v>
      </c>
      <c r="F20" s="69">
        <v>2.8544040000000001E-3</v>
      </c>
      <c r="G20" s="70">
        <v>2.9434299999999999E-3</v>
      </c>
    </row>
    <row r="21" spans="1:7" x14ac:dyDescent="0.25">
      <c r="A21" s="60"/>
      <c r="B21" s="56">
        <v>1000</v>
      </c>
      <c r="C21" s="12">
        <v>1</v>
      </c>
      <c r="D21" s="65">
        <v>0.1439001</v>
      </c>
      <c r="E21" s="65">
        <v>9.0899999999999995E-2</v>
      </c>
      <c r="F21" s="65">
        <v>9.1293719999999995E-2</v>
      </c>
      <c r="G21" s="66">
        <v>9.0959659999999998E-2</v>
      </c>
    </row>
    <row r="22" spans="1:7" x14ac:dyDescent="0.25">
      <c r="A22" s="60"/>
      <c r="B22" s="57"/>
      <c r="C22" s="13">
        <v>2</v>
      </c>
      <c r="D22" s="67">
        <v>7.3108950000000006E-2</v>
      </c>
      <c r="E22" s="67">
        <v>6.8400000000000002E-2</v>
      </c>
      <c r="F22" s="67">
        <v>4.6814000000000001E-2</v>
      </c>
      <c r="G22" s="68">
        <v>4.722486E-2</v>
      </c>
    </row>
    <row r="23" spans="1:7" ht="15.75" thickBot="1" x14ac:dyDescent="0.3">
      <c r="A23" s="60"/>
      <c r="B23" s="58"/>
      <c r="C23" s="14">
        <v>4</v>
      </c>
      <c r="D23" s="69">
        <v>5.185261E-2</v>
      </c>
      <c r="E23" s="69">
        <v>4.3999999999999997E-2</v>
      </c>
      <c r="F23" s="69">
        <v>2.7687139999999999E-2</v>
      </c>
      <c r="G23" s="70">
        <v>2.875931E-2</v>
      </c>
    </row>
    <row r="24" spans="1:7" x14ac:dyDescent="0.25">
      <c r="A24" s="60"/>
      <c r="B24" s="56">
        <v>10000</v>
      </c>
      <c r="C24" s="12">
        <v>1</v>
      </c>
      <c r="D24" s="65">
        <v>1.4558450000000001</v>
      </c>
      <c r="E24" s="65">
        <v>0.92249340000000002</v>
      </c>
      <c r="F24" s="65">
        <v>0.92154749999999996</v>
      </c>
      <c r="G24" s="66">
        <v>0.92052350000000005</v>
      </c>
    </row>
    <row r="25" spans="1:7" x14ac:dyDescent="0.25">
      <c r="A25" s="60"/>
      <c r="B25" s="57"/>
      <c r="C25" s="13">
        <v>2</v>
      </c>
      <c r="D25" s="67">
        <v>0.79496699999999998</v>
      </c>
      <c r="E25" s="67">
        <v>0.70993050000000002</v>
      </c>
      <c r="F25" s="67">
        <v>0.51444630000000002</v>
      </c>
      <c r="G25" s="68">
        <v>0.50768970000000002</v>
      </c>
    </row>
    <row r="26" spans="1:7" ht="15.75" thickBot="1" x14ac:dyDescent="0.3">
      <c r="A26" s="61"/>
      <c r="B26" s="58"/>
      <c r="C26" s="14">
        <v>4</v>
      </c>
      <c r="D26" s="69">
        <v>0.52308969999999999</v>
      </c>
      <c r="E26" s="69">
        <v>0.47282469999999999</v>
      </c>
      <c r="F26" s="69">
        <v>0.36776959999999997</v>
      </c>
      <c r="G26" s="70">
        <v>0.33999230000000003</v>
      </c>
    </row>
    <row r="27" spans="1:7" x14ac:dyDescent="0.25">
      <c r="A27" s="59">
        <v>1000</v>
      </c>
      <c r="B27" s="56">
        <v>10</v>
      </c>
      <c r="C27" s="12">
        <v>1</v>
      </c>
      <c r="D27" s="65">
        <v>0.1403325</v>
      </c>
      <c r="E27" s="65">
        <v>8.8900000000000007E-2</v>
      </c>
      <c r="F27" s="65">
        <v>8.9963180000000004E-2</v>
      </c>
      <c r="G27" s="66">
        <v>8.8860220000000004E-2</v>
      </c>
    </row>
    <row r="28" spans="1:7" x14ac:dyDescent="0.25">
      <c r="A28" s="60"/>
      <c r="B28" s="57"/>
      <c r="C28" s="13">
        <v>2</v>
      </c>
      <c r="D28" s="67">
        <v>7.2108110000000003E-2</v>
      </c>
      <c r="E28" s="67">
        <v>6.7100000000000007E-2</v>
      </c>
      <c r="F28" s="67">
        <v>4.4872290000000002E-2</v>
      </c>
      <c r="G28" s="68">
        <v>4.5099720000000003E-2</v>
      </c>
    </row>
    <row r="29" spans="1:7" ht="15.75" thickBot="1" x14ac:dyDescent="0.3">
      <c r="A29" s="60"/>
      <c r="B29" s="58"/>
      <c r="C29" s="14">
        <v>4</v>
      </c>
      <c r="D29" s="69">
        <v>4.7383120000000001E-2</v>
      </c>
      <c r="E29" s="69">
        <v>3.9600000000000003E-2</v>
      </c>
      <c r="F29" s="69">
        <v>2.2790310000000001E-2</v>
      </c>
      <c r="G29" s="70">
        <v>2.3228539999999999E-2</v>
      </c>
    </row>
    <row r="30" spans="1:7" x14ac:dyDescent="0.25">
      <c r="A30" s="60"/>
      <c r="B30" s="56">
        <v>100</v>
      </c>
      <c r="C30" s="12">
        <v>1</v>
      </c>
      <c r="D30" s="65">
        <v>1.4260930000000001</v>
      </c>
      <c r="E30" s="65">
        <v>0.89900000000000002</v>
      </c>
      <c r="F30" s="65">
        <v>0.90865130000000005</v>
      </c>
      <c r="G30" s="66">
        <v>0.89373519999999995</v>
      </c>
    </row>
    <row r="31" spans="1:7" x14ac:dyDescent="0.25">
      <c r="A31" s="60"/>
      <c r="B31" s="57"/>
      <c r="C31" s="13">
        <v>2</v>
      </c>
      <c r="D31" s="67">
        <v>0.76524219999999998</v>
      </c>
      <c r="E31" s="67">
        <v>0.67600000000000005</v>
      </c>
      <c r="F31" s="67">
        <v>0.46259549999999999</v>
      </c>
      <c r="G31" s="68">
        <v>0.47824909999999998</v>
      </c>
    </row>
    <row r="32" spans="1:7" ht="15.75" thickBot="1" x14ac:dyDescent="0.3">
      <c r="A32" s="60"/>
      <c r="B32" s="58"/>
      <c r="C32" s="14">
        <v>4</v>
      </c>
      <c r="D32" s="69">
        <v>0.48623830000000001</v>
      </c>
      <c r="E32" s="69">
        <v>0.439</v>
      </c>
      <c r="F32" s="69">
        <v>0.27514329999999998</v>
      </c>
      <c r="G32" s="70">
        <v>0.2796129</v>
      </c>
    </row>
    <row r="33" spans="1:7" x14ac:dyDescent="0.25">
      <c r="A33" s="60"/>
      <c r="B33" s="56">
        <v>1000</v>
      </c>
      <c r="C33" s="12">
        <v>1</v>
      </c>
      <c r="D33" s="65">
        <v>14.68797</v>
      </c>
      <c r="E33" s="65">
        <v>9.0299999999999994</v>
      </c>
      <c r="F33" s="65">
        <v>9.0675399999999993</v>
      </c>
      <c r="G33" s="66">
        <v>8.9924389999999992</v>
      </c>
    </row>
    <row r="34" spans="1:7" x14ac:dyDescent="0.25">
      <c r="A34" s="60"/>
      <c r="B34" s="57"/>
      <c r="C34" s="13">
        <v>2</v>
      </c>
      <c r="D34" s="67">
        <v>8.3610500000000005</v>
      </c>
      <c r="E34" s="67">
        <v>7.14</v>
      </c>
      <c r="F34" s="67">
        <v>4.8016569999999996</v>
      </c>
      <c r="G34" s="68">
        <v>4.8281099999999997</v>
      </c>
    </row>
    <row r="35" spans="1:7" ht="15.75" thickBot="1" x14ac:dyDescent="0.3">
      <c r="A35" s="60"/>
      <c r="B35" s="58"/>
      <c r="C35" s="14">
        <v>4</v>
      </c>
      <c r="D35" s="69">
        <v>5.4342439999999996</v>
      </c>
      <c r="E35" s="69">
        <v>4.7</v>
      </c>
      <c r="F35" s="69">
        <v>3.1951700000000001</v>
      </c>
      <c r="G35" s="70">
        <v>3.2617349999999998</v>
      </c>
    </row>
    <row r="36" spans="1:7" x14ac:dyDescent="0.25">
      <c r="A36" s="60"/>
      <c r="B36" s="56">
        <v>10000</v>
      </c>
      <c r="C36" s="12">
        <v>1</v>
      </c>
      <c r="D36" s="65">
        <v>143.92140000000001</v>
      </c>
      <c r="E36" s="65">
        <v>90.727620000000002</v>
      </c>
      <c r="F36" s="65">
        <v>90.49888</v>
      </c>
      <c r="G36" s="66">
        <v>89.816630000000004</v>
      </c>
    </row>
    <row r="37" spans="1:7" x14ac:dyDescent="0.25">
      <c r="A37" s="60"/>
      <c r="B37" s="57"/>
      <c r="C37" s="13">
        <v>2</v>
      </c>
      <c r="D37" s="67">
        <v>79.170680000000004</v>
      </c>
      <c r="E37" s="67">
        <v>72.321969999999993</v>
      </c>
      <c r="F37" s="67">
        <v>49.875419999999998</v>
      </c>
      <c r="G37" s="68">
        <v>49.096209999999999</v>
      </c>
    </row>
    <row r="38" spans="1:7" ht="15.75" thickBot="1" x14ac:dyDescent="0.3">
      <c r="A38" s="61"/>
      <c r="B38" s="58"/>
      <c r="C38" s="14">
        <v>4</v>
      </c>
      <c r="D38" s="69">
        <v>51.591119999999997</v>
      </c>
      <c r="E38" s="69">
        <v>47.2729</v>
      </c>
      <c r="F38" s="69">
        <v>34.197180000000003</v>
      </c>
      <c r="G38" s="70">
        <v>34.135019999999997</v>
      </c>
    </row>
    <row r="39" spans="1:7" x14ac:dyDescent="0.25">
      <c r="D39" s="71"/>
      <c r="E39" s="71"/>
      <c r="F39" s="71"/>
      <c r="G39" s="71"/>
    </row>
    <row r="41" spans="1:7" ht="45" customHeight="1" x14ac:dyDescent="0.25"/>
    <row r="43" spans="1:7" x14ac:dyDescent="0.25">
      <c r="G43" s="19"/>
    </row>
  </sheetData>
  <mergeCells count="16">
    <mergeCell ref="B36:B38"/>
    <mergeCell ref="A15:A26"/>
    <mergeCell ref="A27:A38"/>
    <mergeCell ref="B15:B17"/>
    <mergeCell ref="B18:B20"/>
    <mergeCell ref="B21:B23"/>
    <mergeCell ref="B27:B29"/>
    <mergeCell ref="B30:B32"/>
    <mergeCell ref="B33:B35"/>
    <mergeCell ref="B24:B26"/>
    <mergeCell ref="A1:G1"/>
    <mergeCell ref="B3:B5"/>
    <mergeCell ref="B6:B8"/>
    <mergeCell ref="B9:B11"/>
    <mergeCell ref="B12:B14"/>
    <mergeCell ref="A3:A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4B80-55B1-4F36-8C81-C55F3A3831A3}">
  <dimension ref="A1:E11"/>
  <sheetViews>
    <sheetView zoomScale="175" zoomScaleNormal="175" workbookViewId="0">
      <selection activeCell="A8" sqref="A8:E11"/>
    </sheetView>
  </sheetViews>
  <sheetFormatPr defaultRowHeight="15" x14ac:dyDescent="0.25"/>
  <cols>
    <col min="3" max="3" width="13" customWidth="1"/>
    <col min="4" max="4" width="11.7109375" customWidth="1"/>
  </cols>
  <sheetData>
    <row r="1" spans="1:5" ht="31.5" customHeight="1" thickBot="1" x14ac:dyDescent="0.3">
      <c r="A1" s="62" t="s">
        <v>15</v>
      </c>
      <c r="B1" s="63"/>
      <c r="C1" s="63"/>
      <c r="D1" s="63"/>
      <c r="E1" s="64"/>
    </row>
    <row r="2" spans="1:5" ht="45" x14ac:dyDescent="0.25">
      <c r="A2" s="22" t="s">
        <v>14</v>
      </c>
      <c r="B2" s="23" t="s">
        <v>9</v>
      </c>
      <c r="C2" s="24" t="s">
        <v>10</v>
      </c>
      <c r="D2" s="24" t="s">
        <v>11</v>
      </c>
      <c r="E2" s="25" t="s">
        <v>12</v>
      </c>
    </row>
    <row r="3" spans="1:5" x14ac:dyDescent="0.25">
      <c r="A3" s="20">
        <v>1</v>
      </c>
      <c r="B3" s="28">
        <v>14.68797</v>
      </c>
      <c r="C3" s="28">
        <v>9.0299999999999994</v>
      </c>
      <c r="D3" s="28">
        <v>9.0675399999999993</v>
      </c>
      <c r="E3" s="29">
        <v>8.9924389999999992</v>
      </c>
    </row>
    <row r="4" spans="1:5" x14ac:dyDescent="0.25">
      <c r="A4" s="20">
        <v>2</v>
      </c>
      <c r="B4" s="28">
        <v>8.3610500000000005</v>
      </c>
      <c r="C4" s="28">
        <v>7.14</v>
      </c>
      <c r="D4" s="28">
        <v>4.8016569999999996</v>
      </c>
      <c r="E4" s="29">
        <v>4.8281099999999997</v>
      </c>
    </row>
    <row r="5" spans="1:5" ht="15.75" thickBot="1" x14ac:dyDescent="0.3">
      <c r="A5" s="21">
        <v>4</v>
      </c>
      <c r="B5" s="30">
        <v>5.4342439999999996</v>
      </c>
      <c r="C5" s="30">
        <v>4.7</v>
      </c>
      <c r="D5" s="30">
        <v>3.1951700000000001</v>
      </c>
      <c r="E5" s="31">
        <v>3.2617349999999998</v>
      </c>
    </row>
    <row r="6" spans="1:5" ht="15.75" thickBot="1" x14ac:dyDescent="0.3"/>
    <row r="7" spans="1:5" ht="32.25" customHeight="1" thickBot="1" x14ac:dyDescent="0.3">
      <c r="A7" s="62" t="s">
        <v>16</v>
      </c>
      <c r="B7" s="63"/>
      <c r="C7" s="63"/>
      <c r="D7" s="63"/>
      <c r="E7" s="64"/>
    </row>
    <row r="8" spans="1:5" ht="45" x14ac:dyDescent="0.25">
      <c r="A8" s="22" t="s">
        <v>14</v>
      </c>
      <c r="B8" s="23" t="s">
        <v>9</v>
      </c>
      <c r="C8" s="24" t="s">
        <v>10</v>
      </c>
      <c r="D8" s="24" t="s">
        <v>11</v>
      </c>
      <c r="E8" s="25" t="s">
        <v>12</v>
      </c>
    </row>
    <row r="9" spans="1:5" x14ac:dyDescent="0.25">
      <c r="A9" s="20">
        <v>1</v>
      </c>
      <c r="B9" s="28">
        <v>143.92140000000001</v>
      </c>
      <c r="C9" s="28">
        <v>90.727620000000002</v>
      </c>
      <c r="D9" s="28">
        <v>90.49888</v>
      </c>
      <c r="E9" s="29">
        <v>89.816630000000004</v>
      </c>
    </row>
    <row r="10" spans="1:5" x14ac:dyDescent="0.25">
      <c r="A10" s="20">
        <v>2</v>
      </c>
      <c r="B10" s="28">
        <v>79.170680000000004</v>
      </c>
      <c r="C10" s="28">
        <v>72.321969999999993</v>
      </c>
      <c r="D10" s="28">
        <v>49.875419999999998</v>
      </c>
      <c r="E10" s="29">
        <v>49.096209999999999</v>
      </c>
    </row>
    <row r="11" spans="1:5" ht="15.75" thickBot="1" x14ac:dyDescent="0.3">
      <c r="A11" s="21">
        <v>4</v>
      </c>
      <c r="B11" s="30">
        <v>51.591119999999997</v>
      </c>
      <c r="C11" s="30">
        <v>47.2729</v>
      </c>
      <c r="D11" s="30">
        <v>34.197180000000003</v>
      </c>
      <c r="E11" s="31">
        <v>34.135019999999997</v>
      </c>
    </row>
  </sheetData>
  <mergeCells count="2">
    <mergeCell ref="A1:E1"/>
    <mergeCell ref="A7:E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Trials Runtimes</vt:lpstr>
      <vt:lpstr>Comparison Runtimes</vt:lpstr>
      <vt:lpstr>Extracted Runtimes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Hoang</dc:creator>
  <cp:lastModifiedBy>Bao Hoang</cp:lastModifiedBy>
  <dcterms:created xsi:type="dcterms:W3CDTF">2023-05-20T16:36:53Z</dcterms:created>
  <dcterms:modified xsi:type="dcterms:W3CDTF">2023-05-25T14:07:35Z</dcterms:modified>
</cp:coreProperties>
</file>